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a\Downloads\"/>
    </mc:Choice>
  </mc:AlternateContent>
  <xr:revisionPtr revIDLastSave="0" documentId="13_ncr:1_{8E2997F5-3168-4BCB-8B2F-1FD30C9387B3}" xr6:coauthVersionLast="47" xr6:coauthVersionMax="47" xr10:uidLastSave="{00000000-0000-0000-0000-000000000000}"/>
  <bookViews>
    <workbookView xWindow="-108" yWindow="-108" windowWidth="23256" windowHeight="12456" xr2:uid="{1E0823FB-4D66-43BC-8DA1-DECB93C3D825}"/>
  </bookViews>
  <sheets>
    <sheet name="Base de dados" sheetId="1" r:id="rId1"/>
    <sheet name="Resultados por carteira" sheetId="2" r:id="rId2"/>
    <sheet name="Resultado da agência" sheetId="3" r:id="rId3"/>
  </sheets>
  <definedNames>
    <definedName name="_xlnm._FilterDatabase" localSheetId="0" hidden="1">'Base de dados'!$A$1:$C$234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E2" i="2" s="1"/>
  <c r="F2" i="2" s="1"/>
  <c r="G4" i="1"/>
  <c r="G5" i="1"/>
  <c r="G6" i="1"/>
  <c r="G7" i="1"/>
  <c r="G8" i="1"/>
  <c r="G9" i="1"/>
  <c r="G10" i="1"/>
  <c r="E5" i="2" s="1"/>
  <c r="F5" i="2" s="1"/>
  <c r="G11" i="1"/>
  <c r="G12" i="1"/>
  <c r="C2" i="2" s="1"/>
  <c r="D2" i="2" s="1"/>
  <c r="G13" i="1"/>
  <c r="G14" i="1"/>
  <c r="C4" i="2" s="1"/>
  <c r="D4" i="2" s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E3" i="2" s="1"/>
  <c r="F3" i="2" s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" i="1"/>
  <c r="C3" i="2"/>
  <c r="D3" i="2" s="1"/>
  <c r="C5" i="2"/>
  <c r="D5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" i="1"/>
  <c r="G2" i="2" l="1"/>
  <c r="G5" i="2"/>
  <c r="E4" i="2"/>
  <c r="F4" i="2" s="1"/>
  <c r="G4" i="2" s="1"/>
  <c r="B2" i="3" s="1"/>
  <c r="G3" i="2"/>
</calcChain>
</file>

<file path=xl/sharedStrings.xml><?xml version="1.0" encoding="utf-8"?>
<sst xmlns="http://schemas.openxmlformats.org/spreadsheetml/2006/main" count="261" uniqueCount="23">
  <si>
    <t>Cliente</t>
  </si>
  <si>
    <t>CD_USU</t>
  </si>
  <si>
    <t>Nota</t>
  </si>
  <si>
    <t>A</t>
  </si>
  <si>
    <t>B</t>
  </si>
  <si>
    <t>C</t>
  </si>
  <si>
    <t>AA</t>
  </si>
  <si>
    <t>D</t>
  </si>
  <si>
    <t>E</t>
  </si>
  <si>
    <t>Carteira</t>
  </si>
  <si>
    <t>Nota válida</t>
  </si>
  <si>
    <t>Carteira válida</t>
  </si>
  <si>
    <t>Limite 2 avaliações</t>
  </si>
  <si>
    <t>Válido para apuração</t>
  </si>
  <si>
    <t xml:space="preserve">Média </t>
  </si>
  <si>
    <t>Não se aplica</t>
  </si>
  <si>
    <t>Pontuação da Média</t>
  </si>
  <si>
    <t>Quantidade de avaliações</t>
  </si>
  <si>
    <t>Não elegível</t>
  </si>
  <si>
    <t>Pontuação por quantidade</t>
  </si>
  <si>
    <t>Realizado</t>
  </si>
  <si>
    <t>Carteiras válidas consideradas</t>
  </si>
  <si>
    <t>Realizado pela agência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</si>
</sst>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CFF7-5745-42DF-B0BC-B911AE27985F}">
  <dimension ref="A1:G235"/>
  <sheetViews>
    <sheetView tabSelected="1" workbookViewId="0">
      <selection activeCell="G1" sqref="G1"/>
    </sheetView>
  </sheetViews>
  <sheetFormatPr defaultRowHeight="14.4" x14ac:dyDescent="0.3"/>
  <cols>
    <col min="1" max="1" width="8.6640625" style="1"/>
    <col min="2" max="2" width="9.109375" style="1" customWidth="1"/>
    <col min="3" max="3" width="9.77734375" style="1" customWidth="1"/>
    <col min="4" max="4" width="13.109375" customWidth="1"/>
    <col min="5" max="5" width="15.44140625" customWidth="1"/>
    <col min="6" max="6" width="17.33203125" customWidth="1"/>
    <col min="7" max="7" width="22.2187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10</v>
      </c>
      <c r="E1" s="4" t="s">
        <v>11</v>
      </c>
      <c r="F1" s="4" t="s">
        <v>12</v>
      </c>
      <c r="G1" s="4" t="s">
        <v>13</v>
      </c>
    </row>
    <row r="2" spans="1:7" x14ac:dyDescent="0.3">
      <c r="A2" s="2">
        <v>1</v>
      </c>
      <c r="B2" s="2" t="s">
        <v>3</v>
      </c>
      <c r="C2" s="2">
        <v>1</v>
      </c>
      <c r="D2" s="2" t="str">
        <f>IF(AND(C2&gt;0,C2&lt;=5),"SIM","NÃO")</f>
        <v>SIM</v>
      </c>
      <c r="E2" s="2" t="str">
        <f>IF(OR(B2="A",B2="B",B2="C",B2="E"),"SIM","NÃO")</f>
        <v>SIM</v>
      </c>
      <c r="F2" s="2" t="str">
        <f>IF(COUNTIFS($A$2:A2,A2,$B$2:B2,B2)&lt;=2,"SIM","NÃO")</f>
        <v>SIM</v>
      </c>
      <c r="G2" s="2" t="str">
        <f>IF(AND(D2="SIM",E2="SIM",F2="SIM"),"SIM","NÃO")</f>
        <v>SIM</v>
      </c>
    </row>
    <row r="3" spans="1:7" x14ac:dyDescent="0.3">
      <c r="A3" s="2">
        <v>2</v>
      </c>
      <c r="B3" s="2" t="s">
        <v>3</v>
      </c>
      <c r="C3" s="2">
        <v>1</v>
      </c>
      <c r="D3" s="2" t="str">
        <f t="shared" ref="D3:D66" si="0">IF(AND(C3&gt;0,C3&lt;=5),"SIM","NÃO")</f>
        <v>SIM</v>
      </c>
      <c r="E3" s="2" t="str">
        <f t="shared" ref="E3:E66" si="1">IF(OR(B3="A",B3="B",B3="C",B3="E"),"SIM","NÃO")</f>
        <v>SIM</v>
      </c>
      <c r="F3" s="2" t="str">
        <f>IF(COUNTIFS($A$2:A3,A3,$B$2:B3,B3)&lt;=2,"SIM","NÃO")</f>
        <v>SIM</v>
      </c>
      <c r="G3" s="2" t="str">
        <f t="shared" ref="G3:G66" si="2">IF(AND(D3="SIM",E3="SIM",F3="SIM"),"SIM","NÃO")</f>
        <v>SIM</v>
      </c>
    </row>
    <row r="4" spans="1:7" x14ac:dyDescent="0.3">
      <c r="A4" s="2">
        <v>3</v>
      </c>
      <c r="B4" s="2" t="s">
        <v>3</v>
      </c>
      <c r="C4" s="2">
        <v>1</v>
      </c>
      <c r="D4" s="2" t="str">
        <f t="shared" si="0"/>
        <v>SIM</v>
      </c>
      <c r="E4" s="2" t="str">
        <f t="shared" si="1"/>
        <v>SIM</v>
      </c>
      <c r="F4" s="2" t="str">
        <f>IF(COUNTIFS($A$2:A4,A4,$B$2:B4,B4)&lt;=2,"SIM","NÃO")</f>
        <v>SIM</v>
      </c>
      <c r="G4" s="2" t="str">
        <f t="shared" si="2"/>
        <v>SIM</v>
      </c>
    </row>
    <row r="5" spans="1:7" x14ac:dyDescent="0.3">
      <c r="A5" s="2">
        <v>4</v>
      </c>
      <c r="B5" s="2" t="s">
        <v>3</v>
      </c>
      <c r="C5" s="2">
        <v>1</v>
      </c>
      <c r="D5" s="2" t="str">
        <f t="shared" si="0"/>
        <v>SIM</v>
      </c>
      <c r="E5" s="2" t="str">
        <f t="shared" si="1"/>
        <v>SIM</v>
      </c>
      <c r="F5" s="2" t="str">
        <f>IF(COUNTIFS($A$2:A5,A5,$B$2:B5,B5)&lt;=2,"SIM","NÃO")</f>
        <v>SIM</v>
      </c>
      <c r="G5" s="2" t="str">
        <f t="shared" si="2"/>
        <v>SIM</v>
      </c>
    </row>
    <row r="6" spans="1:7" x14ac:dyDescent="0.3">
      <c r="A6" s="2">
        <v>5</v>
      </c>
      <c r="B6" s="2" t="s">
        <v>4</v>
      </c>
      <c r="C6" s="2">
        <v>5</v>
      </c>
      <c r="D6" s="2" t="str">
        <f t="shared" si="0"/>
        <v>SIM</v>
      </c>
      <c r="E6" s="2" t="str">
        <f t="shared" si="1"/>
        <v>SIM</v>
      </c>
      <c r="F6" s="2" t="str">
        <f>IF(COUNTIFS($A$2:A6,A6,$B$2:B6,B6)&lt;=2,"SIM","NÃO")</f>
        <v>SIM</v>
      </c>
      <c r="G6" s="2" t="str">
        <f t="shared" si="2"/>
        <v>SIM</v>
      </c>
    </row>
    <row r="7" spans="1:7" x14ac:dyDescent="0.3">
      <c r="A7" s="2">
        <v>6</v>
      </c>
      <c r="B7" s="2" t="s">
        <v>4</v>
      </c>
      <c r="C7" s="2">
        <v>5</v>
      </c>
      <c r="D7" s="2" t="str">
        <f t="shared" si="0"/>
        <v>SIM</v>
      </c>
      <c r="E7" s="2" t="str">
        <f t="shared" si="1"/>
        <v>SIM</v>
      </c>
      <c r="F7" s="2" t="str">
        <f>IF(COUNTIFS($A$2:A7,A7,$B$2:B7,B7)&lt;=2,"SIM","NÃO")</f>
        <v>SIM</v>
      </c>
      <c r="G7" s="2" t="str">
        <f t="shared" si="2"/>
        <v>SIM</v>
      </c>
    </row>
    <row r="8" spans="1:7" x14ac:dyDescent="0.3">
      <c r="A8" s="2">
        <v>7</v>
      </c>
      <c r="B8" s="2" t="s">
        <v>4</v>
      </c>
      <c r="C8" s="2">
        <v>5</v>
      </c>
      <c r="D8" s="2" t="str">
        <f t="shared" si="0"/>
        <v>SIM</v>
      </c>
      <c r="E8" s="2" t="str">
        <f t="shared" si="1"/>
        <v>SIM</v>
      </c>
      <c r="F8" s="2" t="str">
        <f>IF(COUNTIFS($A$2:A8,A8,$B$2:B8,B8)&lt;=2,"SIM","NÃO")</f>
        <v>SIM</v>
      </c>
      <c r="G8" s="2" t="str">
        <f t="shared" si="2"/>
        <v>SIM</v>
      </c>
    </row>
    <row r="9" spans="1:7" x14ac:dyDescent="0.3">
      <c r="A9" s="2">
        <v>8</v>
      </c>
      <c r="B9" s="2" t="s">
        <v>4</v>
      </c>
      <c r="C9" s="2">
        <v>4</v>
      </c>
      <c r="D9" s="2" t="str">
        <f t="shared" si="0"/>
        <v>SIM</v>
      </c>
      <c r="E9" s="2" t="str">
        <f t="shared" si="1"/>
        <v>SIM</v>
      </c>
      <c r="F9" s="2" t="str">
        <f>IF(COUNTIFS($A$2:A9,A9,$B$2:B9,B9)&lt;=2,"SIM","NÃO")</f>
        <v>SIM</v>
      </c>
      <c r="G9" s="2" t="str">
        <f t="shared" si="2"/>
        <v>SIM</v>
      </c>
    </row>
    <row r="10" spans="1:7" x14ac:dyDescent="0.3">
      <c r="A10" s="2">
        <v>9</v>
      </c>
      <c r="B10" s="2" t="s">
        <v>5</v>
      </c>
      <c r="C10" s="2">
        <v>5</v>
      </c>
      <c r="D10" s="2" t="str">
        <f t="shared" si="0"/>
        <v>SIM</v>
      </c>
      <c r="E10" s="2" t="str">
        <f t="shared" si="1"/>
        <v>SIM</v>
      </c>
      <c r="F10" s="2" t="str">
        <f>IF(COUNTIFS($A$2:A10,A10,$B$2:B10,B10)&lt;=2,"SIM","NÃO")</f>
        <v>SIM</v>
      </c>
      <c r="G10" s="2" t="str">
        <f t="shared" si="2"/>
        <v>SIM</v>
      </c>
    </row>
    <row r="11" spans="1:7" x14ac:dyDescent="0.3">
      <c r="A11" s="2">
        <v>10</v>
      </c>
      <c r="B11" s="2" t="s">
        <v>5</v>
      </c>
      <c r="C11" s="2">
        <v>3</v>
      </c>
      <c r="D11" s="2" t="str">
        <f t="shared" si="0"/>
        <v>SIM</v>
      </c>
      <c r="E11" s="2" t="str">
        <f t="shared" si="1"/>
        <v>SIM</v>
      </c>
      <c r="F11" s="2" t="str">
        <f>IF(COUNTIFS($A$2:A11,A11,$B$2:B11,B11)&lt;=2,"SIM","NÃO")</f>
        <v>SIM</v>
      </c>
      <c r="G11" s="2" t="str">
        <f t="shared" si="2"/>
        <v>SIM</v>
      </c>
    </row>
    <row r="12" spans="1:7" x14ac:dyDescent="0.3">
      <c r="A12" s="2">
        <v>11</v>
      </c>
      <c r="B12" s="2" t="s">
        <v>3</v>
      </c>
      <c r="C12" s="2">
        <v>3</v>
      </c>
      <c r="D12" s="2" t="str">
        <f t="shared" si="0"/>
        <v>SIM</v>
      </c>
      <c r="E12" s="2" t="str">
        <f t="shared" si="1"/>
        <v>SIM</v>
      </c>
      <c r="F12" s="2" t="str">
        <f>IF(COUNTIFS($A$2:A12,A12,$B$2:B12,B12)&lt;=2,"SIM","NÃO")</f>
        <v>SIM</v>
      </c>
      <c r="G12" s="2" t="str">
        <f t="shared" si="2"/>
        <v>SIM</v>
      </c>
    </row>
    <row r="13" spans="1:7" x14ac:dyDescent="0.3">
      <c r="A13" s="2">
        <v>12</v>
      </c>
      <c r="B13" s="2" t="s">
        <v>3</v>
      </c>
      <c r="C13" s="2">
        <v>2</v>
      </c>
      <c r="D13" s="2" t="str">
        <f t="shared" si="0"/>
        <v>SIM</v>
      </c>
      <c r="E13" s="2" t="str">
        <f t="shared" si="1"/>
        <v>SIM</v>
      </c>
      <c r="F13" s="2" t="str">
        <f>IF(COUNTIFS($A$2:A13,A13,$B$2:B13,B13)&lt;=2,"SIM","NÃO")</f>
        <v>SIM</v>
      </c>
      <c r="G13" s="2" t="str">
        <f t="shared" si="2"/>
        <v>SIM</v>
      </c>
    </row>
    <row r="14" spans="1:7" x14ac:dyDescent="0.3">
      <c r="A14" s="2">
        <v>13</v>
      </c>
      <c r="B14" s="2" t="s">
        <v>4</v>
      </c>
      <c r="C14" s="2">
        <v>4</v>
      </c>
      <c r="D14" s="2" t="str">
        <f t="shared" si="0"/>
        <v>SIM</v>
      </c>
      <c r="E14" s="2" t="str">
        <f t="shared" si="1"/>
        <v>SIM</v>
      </c>
      <c r="F14" s="2" t="str">
        <f>IF(COUNTIFS($A$2:A14,A14,$B$2:B14,B14)&lt;=2,"SIM","NÃO")</f>
        <v>SIM</v>
      </c>
      <c r="G14" s="2" t="str">
        <f t="shared" si="2"/>
        <v>SIM</v>
      </c>
    </row>
    <row r="15" spans="1:7" x14ac:dyDescent="0.3">
      <c r="A15" s="2">
        <v>14</v>
      </c>
      <c r="B15" s="2" t="s">
        <v>4</v>
      </c>
      <c r="C15" s="2">
        <v>5</v>
      </c>
      <c r="D15" s="2" t="str">
        <f t="shared" si="0"/>
        <v>SIM</v>
      </c>
      <c r="E15" s="2" t="str">
        <f t="shared" si="1"/>
        <v>SIM</v>
      </c>
      <c r="F15" s="2" t="str">
        <f>IF(COUNTIFS($A$2:A15,A15,$B$2:B15,B15)&lt;=2,"SIM","NÃO")</f>
        <v>SIM</v>
      </c>
      <c r="G15" s="2" t="str">
        <f t="shared" si="2"/>
        <v>SIM</v>
      </c>
    </row>
    <row r="16" spans="1:7" x14ac:dyDescent="0.3">
      <c r="A16" s="2">
        <v>15</v>
      </c>
      <c r="B16" s="2" t="s">
        <v>5</v>
      </c>
      <c r="C16" s="2">
        <v>2</v>
      </c>
      <c r="D16" s="2" t="str">
        <f t="shared" si="0"/>
        <v>SIM</v>
      </c>
      <c r="E16" s="2" t="str">
        <f t="shared" si="1"/>
        <v>SIM</v>
      </c>
      <c r="F16" s="2" t="str">
        <f>IF(COUNTIFS($A$2:A16,A16,$B$2:B16,B16)&lt;=2,"SIM","NÃO")</f>
        <v>SIM</v>
      </c>
      <c r="G16" s="2" t="str">
        <f t="shared" si="2"/>
        <v>SIM</v>
      </c>
    </row>
    <row r="17" spans="1:7" x14ac:dyDescent="0.3">
      <c r="A17" s="2">
        <v>16</v>
      </c>
      <c r="B17" s="2" t="s">
        <v>5</v>
      </c>
      <c r="C17" s="2">
        <v>0</v>
      </c>
      <c r="D17" s="2" t="str">
        <f t="shared" si="0"/>
        <v>NÃO</v>
      </c>
      <c r="E17" s="2" t="str">
        <f t="shared" si="1"/>
        <v>SIM</v>
      </c>
      <c r="F17" s="2" t="str">
        <f>IF(COUNTIFS($A$2:A17,A17,$B$2:B17,B17)&lt;=2,"SIM","NÃO")</f>
        <v>SIM</v>
      </c>
      <c r="G17" s="2" t="str">
        <f t="shared" si="2"/>
        <v>NÃO</v>
      </c>
    </row>
    <row r="18" spans="1:7" x14ac:dyDescent="0.3">
      <c r="A18" s="2">
        <v>17</v>
      </c>
      <c r="B18" s="2" t="s">
        <v>5</v>
      </c>
      <c r="C18" s="2">
        <v>3</v>
      </c>
      <c r="D18" s="2" t="str">
        <f t="shared" si="0"/>
        <v>SIM</v>
      </c>
      <c r="E18" s="2" t="str">
        <f t="shared" si="1"/>
        <v>SIM</v>
      </c>
      <c r="F18" s="2" t="str">
        <f>IF(COUNTIFS($A$2:A18,A18,$B$2:B18,B18)&lt;=2,"SIM","NÃO")</f>
        <v>SIM</v>
      </c>
      <c r="G18" s="2" t="str">
        <f t="shared" si="2"/>
        <v>SIM</v>
      </c>
    </row>
    <row r="19" spans="1:7" x14ac:dyDescent="0.3">
      <c r="A19" s="2">
        <v>18</v>
      </c>
      <c r="B19" s="2" t="s">
        <v>5</v>
      </c>
      <c r="C19" s="2">
        <v>1</v>
      </c>
      <c r="D19" s="2" t="str">
        <f t="shared" si="0"/>
        <v>SIM</v>
      </c>
      <c r="E19" s="2" t="str">
        <f t="shared" si="1"/>
        <v>SIM</v>
      </c>
      <c r="F19" s="2" t="str">
        <f>IF(COUNTIFS($A$2:A19,A19,$B$2:B19,B19)&lt;=2,"SIM","NÃO")</f>
        <v>SIM</v>
      </c>
      <c r="G19" s="2" t="str">
        <f t="shared" si="2"/>
        <v>SIM</v>
      </c>
    </row>
    <row r="20" spans="1:7" x14ac:dyDescent="0.3">
      <c r="A20" s="2">
        <v>19</v>
      </c>
      <c r="B20" s="2" t="s">
        <v>5</v>
      </c>
      <c r="C20" s="2">
        <v>3</v>
      </c>
      <c r="D20" s="2" t="str">
        <f t="shared" si="0"/>
        <v>SIM</v>
      </c>
      <c r="E20" s="2" t="str">
        <f t="shared" si="1"/>
        <v>SIM</v>
      </c>
      <c r="F20" s="2" t="str">
        <f>IF(COUNTIFS($A$2:A20,A20,$B$2:B20,B20)&lt;=2,"SIM","NÃO")</f>
        <v>SIM</v>
      </c>
      <c r="G20" s="2" t="str">
        <f t="shared" si="2"/>
        <v>SIM</v>
      </c>
    </row>
    <row r="21" spans="1:7" x14ac:dyDescent="0.3">
      <c r="A21" s="2">
        <v>20</v>
      </c>
      <c r="B21" s="2" t="s">
        <v>5</v>
      </c>
      <c r="C21" s="2">
        <v>3</v>
      </c>
      <c r="D21" s="2" t="str">
        <f t="shared" si="0"/>
        <v>SIM</v>
      </c>
      <c r="E21" s="2" t="str">
        <f t="shared" si="1"/>
        <v>SIM</v>
      </c>
      <c r="F21" s="2" t="str">
        <f>IF(COUNTIFS($A$2:A21,A21,$B$2:B21,B21)&lt;=2,"SIM","NÃO")</f>
        <v>SIM</v>
      </c>
      <c r="G21" s="2" t="str">
        <f t="shared" si="2"/>
        <v>SIM</v>
      </c>
    </row>
    <row r="22" spans="1:7" x14ac:dyDescent="0.3">
      <c r="A22" s="2">
        <v>21</v>
      </c>
      <c r="B22" s="2" t="s">
        <v>5</v>
      </c>
      <c r="C22" s="2">
        <v>4</v>
      </c>
      <c r="D22" s="2" t="str">
        <f t="shared" si="0"/>
        <v>SIM</v>
      </c>
      <c r="E22" s="2" t="str">
        <f t="shared" si="1"/>
        <v>SIM</v>
      </c>
      <c r="F22" s="2" t="str">
        <f>IF(COUNTIFS($A$2:A22,A22,$B$2:B22,B22)&lt;=2,"SIM","NÃO")</f>
        <v>SIM</v>
      </c>
      <c r="G22" s="2" t="str">
        <f t="shared" si="2"/>
        <v>SIM</v>
      </c>
    </row>
    <row r="23" spans="1:7" x14ac:dyDescent="0.3">
      <c r="A23" s="2">
        <v>22</v>
      </c>
      <c r="B23" s="2" t="s">
        <v>5</v>
      </c>
      <c r="C23" s="2">
        <v>3</v>
      </c>
      <c r="D23" s="2" t="str">
        <f t="shared" si="0"/>
        <v>SIM</v>
      </c>
      <c r="E23" s="2" t="str">
        <f t="shared" si="1"/>
        <v>SIM</v>
      </c>
      <c r="F23" s="2" t="str">
        <f>IF(COUNTIFS($A$2:A23,A23,$B$2:B23,B23)&lt;=2,"SIM","NÃO")</f>
        <v>SIM</v>
      </c>
      <c r="G23" s="2" t="str">
        <f t="shared" si="2"/>
        <v>SIM</v>
      </c>
    </row>
    <row r="24" spans="1:7" x14ac:dyDescent="0.3">
      <c r="A24" s="2">
        <v>23</v>
      </c>
      <c r="B24" s="2" t="s">
        <v>3</v>
      </c>
      <c r="C24" s="2">
        <v>1</v>
      </c>
      <c r="D24" s="2" t="str">
        <f t="shared" si="0"/>
        <v>SIM</v>
      </c>
      <c r="E24" s="2" t="str">
        <f t="shared" si="1"/>
        <v>SIM</v>
      </c>
      <c r="F24" s="2" t="str">
        <f>IF(COUNTIFS($A$2:A24,A24,$B$2:B24,B24)&lt;=2,"SIM","NÃO")</f>
        <v>SIM</v>
      </c>
      <c r="G24" s="2" t="str">
        <f t="shared" si="2"/>
        <v>SIM</v>
      </c>
    </row>
    <row r="25" spans="1:7" x14ac:dyDescent="0.3">
      <c r="A25" s="2">
        <v>24</v>
      </c>
      <c r="B25" s="3" t="s">
        <v>3</v>
      </c>
      <c r="C25" s="2">
        <v>1</v>
      </c>
      <c r="D25" s="2" t="str">
        <f t="shared" si="0"/>
        <v>SIM</v>
      </c>
      <c r="E25" s="2" t="str">
        <f t="shared" si="1"/>
        <v>SIM</v>
      </c>
      <c r="F25" s="2" t="str">
        <f>IF(COUNTIFS($A$2:A25,A25,$B$2:B25,B25)&lt;=2,"SIM","NÃO")</f>
        <v>SIM</v>
      </c>
      <c r="G25" s="2" t="str">
        <f t="shared" si="2"/>
        <v>SIM</v>
      </c>
    </row>
    <row r="26" spans="1:7" x14ac:dyDescent="0.3">
      <c r="A26" s="2">
        <v>25</v>
      </c>
      <c r="B26" s="2" t="s">
        <v>4</v>
      </c>
      <c r="C26" s="2">
        <v>5</v>
      </c>
      <c r="D26" s="2" t="str">
        <f t="shared" si="0"/>
        <v>SIM</v>
      </c>
      <c r="E26" s="2" t="str">
        <f t="shared" si="1"/>
        <v>SIM</v>
      </c>
      <c r="F26" s="2" t="str">
        <f>IF(COUNTIFS($A$2:A26,A26,$B$2:B26,B26)&lt;=2,"SIM","NÃO")</f>
        <v>SIM</v>
      </c>
      <c r="G26" s="2" t="str">
        <f t="shared" si="2"/>
        <v>SIM</v>
      </c>
    </row>
    <row r="27" spans="1:7" x14ac:dyDescent="0.3">
      <c r="A27" s="2">
        <v>26</v>
      </c>
      <c r="B27" s="2" t="s">
        <v>6</v>
      </c>
      <c r="C27" s="2">
        <v>1</v>
      </c>
      <c r="D27" s="2" t="str">
        <f t="shared" si="0"/>
        <v>SIM</v>
      </c>
      <c r="E27" s="2" t="str">
        <f t="shared" si="1"/>
        <v>NÃO</v>
      </c>
      <c r="F27" s="2" t="str">
        <f>IF(COUNTIFS($A$2:A27,A27,$B$2:B27,B27)&lt;=2,"SIM","NÃO")</f>
        <v>SIM</v>
      </c>
      <c r="G27" s="2" t="str">
        <f t="shared" si="2"/>
        <v>NÃO</v>
      </c>
    </row>
    <row r="28" spans="1:7" x14ac:dyDescent="0.3">
      <c r="A28" s="2">
        <v>27</v>
      </c>
      <c r="B28" s="2" t="s">
        <v>4</v>
      </c>
      <c r="C28" s="2">
        <v>5</v>
      </c>
      <c r="D28" s="2" t="str">
        <f t="shared" si="0"/>
        <v>SIM</v>
      </c>
      <c r="E28" s="2" t="str">
        <f t="shared" si="1"/>
        <v>SIM</v>
      </c>
      <c r="F28" s="2" t="str">
        <f>IF(COUNTIFS($A$2:A28,A28,$B$2:B28,B28)&lt;=2,"SIM","NÃO")</f>
        <v>SIM</v>
      </c>
      <c r="G28" s="2" t="str">
        <f t="shared" si="2"/>
        <v>SIM</v>
      </c>
    </row>
    <row r="29" spans="1:7" x14ac:dyDescent="0.3">
      <c r="A29" s="2">
        <v>28</v>
      </c>
      <c r="B29" s="2" t="s">
        <v>4</v>
      </c>
      <c r="C29" s="2">
        <v>5</v>
      </c>
      <c r="D29" s="2" t="str">
        <f t="shared" si="0"/>
        <v>SIM</v>
      </c>
      <c r="E29" s="2" t="str">
        <f t="shared" si="1"/>
        <v>SIM</v>
      </c>
      <c r="F29" s="2" t="str">
        <f>IF(COUNTIFS($A$2:A29,A29,$B$2:B29,B29)&lt;=2,"SIM","NÃO")</f>
        <v>SIM</v>
      </c>
      <c r="G29" s="2" t="str">
        <f t="shared" si="2"/>
        <v>SIM</v>
      </c>
    </row>
    <row r="30" spans="1:7" x14ac:dyDescent="0.3">
      <c r="A30" s="2">
        <v>29</v>
      </c>
      <c r="B30" s="2" t="s">
        <v>4</v>
      </c>
      <c r="C30" s="2">
        <v>5</v>
      </c>
      <c r="D30" s="2" t="str">
        <f t="shared" si="0"/>
        <v>SIM</v>
      </c>
      <c r="E30" s="2" t="str">
        <f t="shared" si="1"/>
        <v>SIM</v>
      </c>
      <c r="F30" s="2" t="str">
        <f>IF(COUNTIFS($A$2:A30,A30,$B$2:B30,B30)&lt;=2,"SIM","NÃO")</f>
        <v>SIM</v>
      </c>
      <c r="G30" s="2" t="str">
        <f t="shared" si="2"/>
        <v>SIM</v>
      </c>
    </row>
    <row r="31" spans="1:7" x14ac:dyDescent="0.3">
      <c r="A31" s="2">
        <v>30</v>
      </c>
      <c r="B31" s="2" t="s">
        <v>5</v>
      </c>
      <c r="C31" s="2">
        <v>1</v>
      </c>
      <c r="D31" s="2" t="str">
        <f t="shared" si="0"/>
        <v>SIM</v>
      </c>
      <c r="E31" s="2" t="str">
        <f t="shared" si="1"/>
        <v>SIM</v>
      </c>
      <c r="F31" s="2" t="str">
        <f>IF(COUNTIFS($A$2:A31,A31,$B$2:B31,B31)&lt;=2,"SIM","NÃO")</f>
        <v>SIM</v>
      </c>
      <c r="G31" s="2" t="str">
        <f t="shared" si="2"/>
        <v>SIM</v>
      </c>
    </row>
    <row r="32" spans="1:7" x14ac:dyDescent="0.3">
      <c r="A32" s="2">
        <v>31</v>
      </c>
      <c r="B32" s="2" t="s">
        <v>5</v>
      </c>
      <c r="C32" s="2">
        <v>4</v>
      </c>
      <c r="D32" s="2" t="str">
        <f t="shared" si="0"/>
        <v>SIM</v>
      </c>
      <c r="E32" s="2" t="str">
        <f t="shared" si="1"/>
        <v>SIM</v>
      </c>
      <c r="F32" s="2" t="str">
        <f>IF(COUNTIFS($A$2:A32,A32,$B$2:B32,B32)&lt;=2,"SIM","NÃO")</f>
        <v>SIM</v>
      </c>
      <c r="G32" s="2" t="str">
        <f t="shared" si="2"/>
        <v>SIM</v>
      </c>
    </row>
    <row r="33" spans="1:7" x14ac:dyDescent="0.3">
      <c r="A33" s="2">
        <v>32</v>
      </c>
      <c r="B33" s="2" t="s">
        <v>5</v>
      </c>
      <c r="C33" s="2">
        <v>2</v>
      </c>
      <c r="D33" s="2" t="str">
        <f t="shared" si="0"/>
        <v>SIM</v>
      </c>
      <c r="E33" s="2" t="str">
        <f t="shared" si="1"/>
        <v>SIM</v>
      </c>
      <c r="F33" s="2" t="str">
        <f>IF(COUNTIFS($A$2:A33,A33,$B$2:B33,B33)&lt;=2,"SIM","NÃO")</f>
        <v>SIM</v>
      </c>
      <c r="G33" s="2" t="str">
        <f t="shared" si="2"/>
        <v>SIM</v>
      </c>
    </row>
    <row r="34" spans="1:7" x14ac:dyDescent="0.3">
      <c r="A34" s="2">
        <v>33</v>
      </c>
      <c r="B34" s="2" t="s">
        <v>5</v>
      </c>
      <c r="C34" s="2">
        <v>4</v>
      </c>
      <c r="D34" s="2" t="str">
        <f t="shared" si="0"/>
        <v>SIM</v>
      </c>
      <c r="E34" s="2" t="str">
        <f t="shared" si="1"/>
        <v>SIM</v>
      </c>
      <c r="F34" s="2" t="str">
        <f>IF(COUNTIFS($A$2:A34,A34,$B$2:B34,B34)&lt;=2,"SIM","NÃO")</f>
        <v>SIM</v>
      </c>
      <c r="G34" s="2" t="str">
        <f t="shared" si="2"/>
        <v>SIM</v>
      </c>
    </row>
    <row r="35" spans="1:7" x14ac:dyDescent="0.3">
      <c r="A35" s="2">
        <v>34</v>
      </c>
      <c r="B35" s="2" t="s">
        <v>5</v>
      </c>
      <c r="C35" s="2">
        <v>5</v>
      </c>
      <c r="D35" s="2" t="str">
        <f t="shared" si="0"/>
        <v>SIM</v>
      </c>
      <c r="E35" s="2" t="str">
        <f t="shared" si="1"/>
        <v>SIM</v>
      </c>
      <c r="F35" s="2" t="str">
        <f>IF(COUNTIFS($A$2:A35,A35,$B$2:B35,B35)&lt;=2,"SIM","NÃO")</f>
        <v>SIM</v>
      </c>
      <c r="G35" s="2" t="str">
        <f t="shared" si="2"/>
        <v>SIM</v>
      </c>
    </row>
    <row r="36" spans="1:7" x14ac:dyDescent="0.3">
      <c r="A36" s="2">
        <v>35</v>
      </c>
      <c r="B36" s="2" t="s">
        <v>5</v>
      </c>
      <c r="C36" s="2">
        <v>5</v>
      </c>
      <c r="D36" s="2" t="str">
        <f t="shared" si="0"/>
        <v>SIM</v>
      </c>
      <c r="E36" s="2" t="str">
        <f t="shared" si="1"/>
        <v>SIM</v>
      </c>
      <c r="F36" s="2" t="str">
        <f>IF(COUNTIFS($A$2:A36,A36,$B$2:B36,B36)&lt;=2,"SIM","NÃO")</f>
        <v>SIM</v>
      </c>
      <c r="G36" s="2" t="str">
        <f t="shared" si="2"/>
        <v>SIM</v>
      </c>
    </row>
    <row r="37" spans="1:7" x14ac:dyDescent="0.3">
      <c r="A37" s="2">
        <v>36</v>
      </c>
      <c r="B37" s="2" t="s">
        <v>5</v>
      </c>
      <c r="C37" s="2">
        <v>2</v>
      </c>
      <c r="D37" s="2" t="str">
        <f t="shared" si="0"/>
        <v>SIM</v>
      </c>
      <c r="E37" s="2" t="str">
        <f t="shared" si="1"/>
        <v>SIM</v>
      </c>
      <c r="F37" s="2" t="str">
        <f>IF(COUNTIFS($A$2:A37,A37,$B$2:B37,B37)&lt;=2,"SIM","NÃO")</f>
        <v>SIM</v>
      </c>
      <c r="G37" s="2" t="str">
        <f t="shared" si="2"/>
        <v>SIM</v>
      </c>
    </row>
    <row r="38" spans="1:7" x14ac:dyDescent="0.3">
      <c r="A38" s="2">
        <v>37</v>
      </c>
      <c r="B38" s="2" t="s">
        <v>5</v>
      </c>
      <c r="C38" s="2">
        <v>1</v>
      </c>
      <c r="D38" s="2" t="str">
        <f t="shared" si="0"/>
        <v>SIM</v>
      </c>
      <c r="E38" s="2" t="str">
        <f t="shared" si="1"/>
        <v>SIM</v>
      </c>
      <c r="F38" s="2" t="str">
        <f>IF(COUNTIFS($A$2:A38,A38,$B$2:B38,B38)&lt;=2,"SIM","NÃO")</f>
        <v>SIM</v>
      </c>
      <c r="G38" s="2" t="str">
        <f t="shared" si="2"/>
        <v>SIM</v>
      </c>
    </row>
    <row r="39" spans="1:7" x14ac:dyDescent="0.3">
      <c r="A39" s="2">
        <v>38</v>
      </c>
      <c r="B39" s="2" t="s">
        <v>5</v>
      </c>
      <c r="C39" s="2">
        <v>6</v>
      </c>
      <c r="D39" s="2" t="str">
        <f t="shared" si="0"/>
        <v>NÃO</v>
      </c>
      <c r="E39" s="2" t="str">
        <f t="shared" si="1"/>
        <v>SIM</v>
      </c>
      <c r="F39" s="2" t="str">
        <f>IF(COUNTIFS($A$2:A39,A39,$B$2:B39,B39)&lt;=2,"SIM","NÃO")</f>
        <v>SIM</v>
      </c>
      <c r="G39" s="2" t="str">
        <f t="shared" si="2"/>
        <v>NÃO</v>
      </c>
    </row>
    <row r="40" spans="1:7" x14ac:dyDescent="0.3">
      <c r="A40" s="2">
        <v>39</v>
      </c>
      <c r="B40" s="2" t="s">
        <v>5</v>
      </c>
      <c r="C40" s="2">
        <v>4</v>
      </c>
      <c r="D40" s="2" t="str">
        <f t="shared" si="0"/>
        <v>SIM</v>
      </c>
      <c r="E40" s="2" t="str">
        <f t="shared" si="1"/>
        <v>SIM</v>
      </c>
      <c r="F40" s="2" t="str">
        <f>IF(COUNTIFS($A$2:A40,A40,$B$2:B40,B40)&lt;=2,"SIM","NÃO")</f>
        <v>SIM</v>
      </c>
      <c r="G40" s="2" t="str">
        <f t="shared" si="2"/>
        <v>SIM</v>
      </c>
    </row>
    <row r="41" spans="1:7" x14ac:dyDescent="0.3">
      <c r="A41" s="2">
        <v>40</v>
      </c>
      <c r="B41" s="2" t="s">
        <v>5</v>
      </c>
      <c r="C41" s="2">
        <v>1</v>
      </c>
      <c r="D41" s="2" t="str">
        <f t="shared" si="0"/>
        <v>SIM</v>
      </c>
      <c r="E41" s="2" t="str">
        <f t="shared" si="1"/>
        <v>SIM</v>
      </c>
      <c r="F41" s="2" t="str">
        <f>IF(COUNTIFS($A$2:A41,A41,$B$2:B41,B41)&lt;=2,"SIM","NÃO")</f>
        <v>SIM</v>
      </c>
      <c r="G41" s="2" t="str">
        <f t="shared" si="2"/>
        <v>SIM</v>
      </c>
    </row>
    <row r="42" spans="1:7" x14ac:dyDescent="0.3">
      <c r="A42" s="2">
        <v>41</v>
      </c>
      <c r="B42" s="2" t="s">
        <v>5</v>
      </c>
      <c r="C42" s="2">
        <v>3</v>
      </c>
      <c r="D42" s="2" t="str">
        <f t="shared" si="0"/>
        <v>SIM</v>
      </c>
      <c r="E42" s="2" t="str">
        <f t="shared" si="1"/>
        <v>SIM</v>
      </c>
      <c r="F42" s="2" t="str">
        <f>IF(COUNTIFS($A$2:A42,A42,$B$2:B42,B42)&lt;=2,"SIM","NÃO")</f>
        <v>SIM</v>
      </c>
      <c r="G42" s="2" t="str">
        <f t="shared" si="2"/>
        <v>SIM</v>
      </c>
    </row>
    <row r="43" spans="1:7" x14ac:dyDescent="0.3">
      <c r="A43" s="2">
        <v>42</v>
      </c>
      <c r="B43" s="2" t="s">
        <v>3</v>
      </c>
      <c r="C43" s="2">
        <v>1</v>
      </c>
      <c r="D43" s="2" t="str">
        <f t="shared" si="0"/>
        <v>SIM</v>
      </c>
      <c r="E43" s="2" t="str">
        <f t="shared" si="1"/>
        <v>SIM</v>
      </c>
      <c r="F43" s="2" t="str">
        <f>IF(COUNTIFS($A$2:A43,A43,$B$2:B43,B43)&lt;=2,"SIM","NÃO")</f>
        <v>SIM</v>
      </c>
      <c r="G43" s="2" t="str">
        <f t="shared" si="2"/>
        <v>SIM</v>
      </c>
    </row>
    <row r="44" spans="1:7" x14ac:dyDescent="0.3">
      <c r="A44" s="2">
        <v>43</v>
      </c>
      <c r="B44" s="2" t="s">
        <v>3</v>
      </c>
      <c r="C44" s="2">
        <v>1</v>
      </c>
      <c r="D44" s="2" t="str">
        <f t="shared" si="0"/>
        <v>SIM</v>
      </c>
      <c r="E44" s="2" t="str">
        <f t="shared" si="1"/>
        <v>SIM</v>
      </c>
      <c r="F44" s="2" t="str">
        <f>IF(COUNTIFS($A$2:A44,A44,$B$2:B44,B44)&lt;=2,"SIM","NÃO")</f>
        <v>SIM</v>
      </c>
      <c r="G44" s="2" t="str">
        <f t="shared" si="2"/>
        <v>SIM</v>
      </c>
    </row>
    <row r="45" spans="1:7" x14ac:dyDescent="0.3">
      <c r="A45" s="2">
        <v>44</v>
      </c>
      <c r="B45" s="2" t="s">
        <v>3</v>
      </c>
      <c r="C45" s="2">
        <v>3</v>
      </c>
      <c r="D45" s="2" t="str">
        <f t="shared" si="0"/>
        <v>SIM</v>
      </c>
      <c r="E45" s="2" t="str">
        <f t="shared" si="1"/>
        <v>SIM</v>
      </c>
      <c r="F45" s="2" t="str">
        <f>IF(COUNTIFS($A$2:A45,A45,$B$2:B45,B45)&lt;=2,"SIM","NÃO")</f>
        <v>SIM</v>
      </c>
      <c r="G45" s="2" t="str">
        <f t="shared" si="2"/>
        <v>SIM</v>
      </c>
    </row>
    <row r="46" spans="1:7" x14ac:dyDescent="0.3">
      <c r="A46" s="2">
        <v>45</v>
      </c>
      <c r="B46" s="2" t="s">
        <v>3</v>
      </c>
      <c r="C46" s="2">
        <v>1</v>
      </c>
      <c r="D46" s="2" t="str">
        <f t="shared" si="0"/>
        <v>SIM</v>
      </c>
      <c r="E46" s="2" t="str">
        <f t="shared" si="1"/>
        <v>SIM</v>
      </c>
      <c r="F46" s="2" t="str">
        <f>IF(COUNTIFS($A$2:A46,A46,$B$2:B46,B46)&lt;=2,"SIM","NÃO")</f>
        <v>SIM</v>
      </c>
      <c r="G46" s="2" t="str">
        <f t="shared" si="2"/>
        <v>SIM</v>
      </c>
    </row>
    <row r="47" spans="1:7" x14ac:dyDescent="0.3">
      <c r="A47" s="2">
        <v>46</v>
      </c>
      <c r="B47" s="2" t="s">
        <v>3</v>
      </c>
      <c r="C47" s="2">
        <v>1</v>
      </c>
      <c r="D47" s="2" t="str">
        <f t="shared" si="0"/>
        <v>SIM</v>
      </c>
      <c r="E47" s="2" t="str">
        <f t="shared" si="1"/>
        <v>SIM</v>
      </c>
      <c r="F47" s="2" t="str">
        <f>IF(COUNTIFS($A$2:A47,A47,$B$2:B47,B47)&lt;=2,"SIM","NÃO")</f>
        <v>SIM</v>
      </c>
      <c r="G47" s="2" t="str">
        <f t="shared" si="2"/>
        <v>SIM</v>
      </c>
    </row>
    <row r="48" spans="1:7" x14ac:dyDescent="0.3">
      <c r="A48" s="2">
        <v>47</v>
      </c>
      <c r="B48" s="2" t="s">
        <v>3</v>
      </c>
      <c r="C48" s="2">
        <v>1</v>
      </c>
      <c r="D48" s="2" t="str">
        <f t="shared" si="0"/>
        <v>SIM</v>
      </c>
      <c r="E48" s="2" t="str">
        <f t="shared" si="1"/>
        <v>SIM</v>
      </c>
      <c r="F48" s="2" t="str">
        <f>IF(COUNTIFS($A$2:A48,A48,$B$2:B48,B48)&lt;=2,"SIM","NÃO")</f>
        <v>SIM</v>
      </c>
      <c r="G48" s="2" t="str">
        <f t="shared" si="2"/>
        <v>SIM</v>
      </c>
    </row>
    <row r="49" spans="1:7" x14ac:dyDescent="0.3">
      <c r="A49" s="2">
        <v>48</v>
      </c>
      <c r="B49" s="2" t="s">
        <v>3</v>
      </c>
      <c r="C49" s="2">
        <v>3</v>
      </c>
      <c r="D49" s="2" t="str">
        <f t="shared" si="0"/>
        <v>SIM</v>
      </c>
      <c r="E49" s="2" t="str">
        <f t="shared" si="1"/>
        <v>SIM</v>
      </c>
      <c r="F49" s="2" t="str">
        <f>IF(COUNTIFS($A$2:A49,A49,$B$2:B49,B49)&lt;=2,"SIM","NÃO")</f>
        <v>SIM</v>
      </c>
      <c r="G49" s="2" t="str">
        <f t="shared" si="2"/>
        <v>SIM</v>
      </c>
    </row>
    <row r="50" spans="1:7" x14ac:dyDescent="0.3">
      <c r="A50" s="2">
        <v>49</v>
      </c>
      <c r="B50" s="2" t="s">
        <v>3</v>
      </c>
      <c r="C50" s="2">
        <v>1</v>
      </c>
      <c r="D50" s="2" t="str">
        <f t="shared" si="0"/>
        <v>SIM</v>
      </c>
      <c r="E50" s="2" t="str">
        <f t="shared" si="1"/>
        <v>SIM</v>
      </c>
      <c r="F50" s="2" t="str">
        <f>IF(COUNTIFS($A$2:A50,A50,$B$2:B50,B50)&lt;=2,"SIM","NÃO")</f>
        <v>SIM</v>
      </c>
      <c r="G50" s="2" t="str">
        <f t="shared" si="2"/>
        <v>SIM</v>
      </c>
    </row>
    <row r="51" spans="1:7" x14ac:dyDescent="0.3">
      <c r="A51" s="2">
        <v>50</v>
      </c>
      <c r="B51" s="2" t="s">
        <v>3</v>
      </c>
      <c r="C51" s="2">
        <v>4</v>
      </c>
      <c r="D51" s="2" t="str">
        <f t="shared" si="0"/>
        <v>SIM</v>
      </c>
      <c r="E51" s="2" t="str">
        <f t="shared" si="1"/>
        <v>SIM</v>
      </c>
      <c r="F51" s="2" t="str">
        <f>IF(COUNTIFS($A$2:A51,A51,$B$2:B51,B51)&lt;=2,"SIM","NÃO")</f>
        <v>SIM</v>
      </c>
      <c r="G51" s="2" t="str">
        <f t="shared" si="2"/>
        <v>SIM</v>
      </c>
    </row>
    <row r="52" spans="1:7" x14ac:dyDescent="0.3">
      <c r="A52" s="2">
        <v>51</v>
      </c>
      <c r="B52" s="2" t="s">
        <v>3</v>
      </c>
      <c r="C52" s="2">
        <v>1</v>
      </c>
      <c r="D52" s="2" t="str">
        <f t="shared" si="0"/>
        <v>SIM</v>
      </c>
      <c r="E52" s="2" t="str">
        <f t="shared" si="1"/>
        <v>SIM</v>
      </c>
      <c r="F52" s="2" t="str">
        <f>IF(COUNTIFS($A$2:A52,A52,$B$2:B52,B52)&lt;=2,"SIM","NÃO")</f>
        <v>SIM</v>
      </c>
      <c r="G52" s="2" t="str">
        <f t="shared" si="2"/>
        <v>SIM</v>
      </c>
    </row>
    <row r="53" spans="1:7" x14ac:dyDescent="0.3">
      <c r="A53" s="2">
        <v>52</v>
      </c>
      <c r="B53" s="2" t="s">
        <v>7</v>
      </c>
      <c r="C53" s="2">
        <v>4</v>
      </c>
      <c r="D53" s="2" t="str">
        <f t="shared" si="0"/>
        <v>SIM</v>
      </c>
      <c r="E53" s="2" t="str">
        <f t="shared" si="1"/>
        <v>NÃO</v>
      </c>
      <c r="F53" s="2" t="str">
        <f>IF(COUNTIFS($A$2:A53,A53,$B$2:B53,B53)&lt;=2,"SIM","NÃO")</f>
        <v>SIM</v>
      </c>
      <c r="G53" s="2" t="str">
        <f t="shared" si="2"/>
        <v>NÃO</v>
      </c>
    </row>
    <row r="54" spans="1:7" x14ac:dyDescent="0.3">
      <c r="A54" s="2">
        <v>53</v>
      </c>
      <c r="B54" s="2" t="s">
        <v>7</v>
      </c>
      <c r="C54" s="2">
        <v>3</v>
      </c>
      <c r="D54" s="2" t="str">
        <f t="shared" si="0"/>
        <v>SIM</v>
      </c>
      <c r="E54" s="2" t="str">
        <f t="shared" si="1"/>
        <v>NÃO</v>
      </c>
      <c r="F54" s="2" t="str">
        <f>IF(COUNTIFS($A$2:A54,A54,$B$2:B54,B54)&lt;=2,"SIM","NÃO")</f>
        <v>SIM</v>
      </c>
      <c r="G54" s="2" t="str">
        <f t="shared" si="2"/>
        <v>NÃO</v>
      </c>
    </row>
    <row r="55" spans="1:7" x14ac:dyDescent="0.3">
      <c r="A55" s="2">
        <v>54</v>
      </c>
      <c r="B55" s="2" t="s">
        <v>7</v>
      </c>
      <c r="C55" s="2">
        <v>3</v>
      </c>
      <c r="D55" s="2" t="str">
        <f t="shared" si="0"/>
        <v>SIM</v>
      </c>
      <c r="E55" s="2" t="str">
        <f t="shared" si="1"/>
        <v>NÃO</v>
      </c>
      <c r="F55" s="2" t="str">
        <f>IF(COUNTIFS($A$2:A55,A55,$B$2:B55,B55)&lt;=2,"SIM","NÃO")</f>
        <v>SIM</v>
      </c>
      <c r="G55" s="2" t="str">
        <f t="shared" si="2"/>
        <v>NÃO</v>
      </c>
    </row>
    <row r="56" spans="1:7" x14ac:dyDescent="0.3">
      <c r="A56" s="2">
        <v>55</v>
      </c>
      <c r="B56" s="2" t="s">
        <v>7</v>
      </c>
      <c r="C56" s="2"/>
      <c r="D56" s="2" t="str">
        <f t="shared" si="0"/>
        <v>NÃO</v>
      </c>
      <c r="E56" s="2" t="str">
        <f t="shared" si="1"/>
        <v>NÃO</v>
      </c>
      <c r="F56" s="2" t="str">
        <f>IF(COUNTIFS($A$2:A56,A56,$B$2:B56,B56)&lt;=2,"SIM","NÃO")</f>
        <v>SIM</v>
      </c>
      <c r="G56" s="2" t="str">
        <f t="shared" si="2"/>
        <v>NÃO</v>
      </c>
    </row>
    <row r="57" spans="1:7" x14ac:dyDescent="0.3">
      <c r="A57" s="2">
        <v>56</v>
      </c>
      <c r="B57" s="2" t="s">
        <v>7</v>
      </c>
      <c r="C57" s="2">
        <v>2</v>
      </c>
      <c r="D57" s="2" t="str">
        <f t="shared" si="0"/>
        <v>SIM</v>
      </c>
      <c r="E57" s="2" t="str">
        <f t="shared" si="1"/>
        <v>NÃO</v>
      </c>
      <c r="F57" s="2" t="str">
        <f>IF(COUNTIFS($A$2:A57,A57,$B$2:B57,B57)&lt;=2,"SIM","NÃO")</f>
        <v>SIM</v>
      </c>
      <c r="G57" s="2" t="str">
        <f t="shared" si="2"/>
        <v>NÃO</v>
      </c>
    </row>
    <row r="58" spans="1:7" x14ac:dyDescent="0.3">
      <c r="A58" s="2">
        <v>57</v>
      </c>
      <c r="B58" s="2" t="s">
        <v>7</v>
      </c>
      <c r="C58" s="2">
        <v>3</v>
      </c>
      <c r="D58" s="2" t="str">
        <f t="shared" si="0"/>
        <v>SIM</v>
      </c>
      <c r="E58" s="2" t="str">
        <f t="shared" si="1"/>
        <v>NÃO</v>
      </c>
      <c r="F58" s="2" t="str">
        <f>IF(COUNTIFS($A$2:A58,A58,$B$2:B58,B58)&lt;=2,"SIM","NÃO")</f>
        <v>SIM</v>
      </c>
      <c r="G58" s="2" t="str">
        <f t="shared" si="2"/>
        <v>NÃO</v>
      </c>
    </row>
    <row r="59" spans="1:7" x14ac:dyDescent="0.3">
      <c r="A59" s="2">
        <v>58</v>
      </c>
      <c r="B59" s="2" t="s">
        <v>7</v>
      </c>
      <c r="C59" s="2">
        <v>4</v>
      </c>
      <c r="D59" s="2" t="str">
        <f t="shared" si="0"/>
        <v>SIM</v>
      </c>
      <c r="E59" s="2" t="str">
        <f t="shared" si="1"/>
        <v>NÃO</v>
      </c>
      <c r="F59" s="2" t="str">
        <f>IF(COUNTIFS($A$2:A59,A59,$B$2:B59,B59)&lt;=2,"SIM","NÃO")</f>
        <v>SIM</v>
      </c>
      <c r="G59" s="2" t="str">
        <f t="shared" si="2"/>
        <v>NÃO</v>
      </c>
    </row>
    <row r="60" spans="1:7" x14ac:dyDescent="0.3">
      <c r="A60" s="2">
        <v>59</v>
      </c>
      <c r="B60" s="2" t="s">
        <v>7</v>
      </c>
      <c r="C60" s="2">
        <v>1</v>
      </c>
      <c r="D60" s="2" t="str">
        <f t="shared" si="0"/>
        <v>SIM</v>
      </c>
      <c r="E60" s="2" t="str">
        <f t="shared" si="1"/>
        <v>NÃO</v>
      </c>
      <c r="F60" s="2" t="str">
        <f>IF(COUNTIFS($A$2:A60,A60,$B$2:B60,B60)&lt;=2,"SIM","NÃO")</f>
        <v>SIM</v>
      </c>
      <c r="G60" s="2" t="str">
        <f t="shared" si="2"/>
        <v>NÃO</v>
      </c>
    </row>
    <row r="61" spans="1:7" x14ac:dyDescent="0.3">
      <c r="A61" s="2">
        <v>60</v>
      </c>
      <c r="B61" s="2" t="s">
        <v>7</v>
      </c>
      <c r="C61" s="2">
        <v>3</v>
      </c>
      <c r="D61" s="2" t="str">
        <f t="shared" si="0"/>
        <v>SIM</v>
      </c>
      <c r="E61" s="2" t="str">
        <f t="shared" si="1"/>
        <v>NÃO</v>
      </c>
      <c r="F61" s="2" t="str">
        <f>IF(COUNTIFS($A$2:A61,A61,$B$2:B61,B61)&lt;=2,"SIM","NÃO")</f>
        <v>SIM</v>
      </c>
      <c r="G61" s="2" t="str">
        <f t="shared" si="2"/>
        <v>NÃO</v>
      </c>
    </row>
    <row r="62" spans="1:7" x14ac:dyDescent="0.3">
      <c r="A62" s="2">
        <v>61</v>
      </c>
      <c r="B62" s="2" t="s">
        <v>7</v>
      </c>
      <c r="C62" s="2">
        <v>2</v>
      </c>
      <c r="D62" s="2" t="str">
        <f t="shared" si="0"/>
        <v>SIM</v>
      </c>
      <c r="E62" s="2" t="str">
        <f t="shared" si="1"/>
        <v>NÃO</v>
      </c>
      <c r="F62" s="2" t="str">
        <f>IF(COUNTIFS($A$2:A62,A62,$B$2:B62,B62)&lt;=2,"SIM","NÃO")</f>
        <v>SIM</v>
      </c>
      <c r="G62" s="2" t="str">
        <f t="shared" si="2"/>
        <v>NÃO</v>
      </c>
    </row>
    <row r="63" spans="1:7" x14ac:dyDescent="0.3">
      <c r="A63" s="2">
        <v>62</v>
      </c>
      <c r="B63" s="2" t="s">
        <v>7</v>
      </c>
      <c r="C63" s="2">
        <v>4</v>
      </c>
      <c r="D63" s="2" t="str">
        <f t="shared" si="0"/>
        <v>SIM</v>
      </c>
      <c r="E63" s="2" t="str">
        <f t="shared" si="1"/>
        <v>NÃO</v>
      </c>
      <c r="F63" s="2" t="str">
        <f>IF(COUNTIFS($A$2:A63,A63,$B$2:B63,B63)&lt;=2,"SIM","NÃO")</f>
        <v>SIM</v>
      </c>
      <c r="G63" s="2" t="str">
        <f t="shared" si="2"/>
        <v>NÃO</v>
      </c>
    </row>
    <row r="64" spans="1:7" x14ac:dyDescent="0.3">
      <c r="A64" s="2">
        <v>63</v>
      </c>
      <c r="B64" s="2" t="s">
        <v>7</v>
      </c>
      <c r="C64" s="2">
        <v>5</v>
      </c>
      <c r="D64" s="2" t="str">
        <f t="shared" si="0"/>
        <v>SIM</v>
      </c>
      <c r="E64" s="2" t="str">
        <f t="shared" si="1"/>
        <v>NÃO</v>
      </c>
      <c r="F64" s="2" t="str">
        <f>IF(COUNTIFS($A$2:A64,A64,$B$2:B64,B64)&lt;=2,"SIM","NÃO")</f>
        <v>SIM</v>
      </c>
      <c r="G64" s="2" t="str">
        <f t="shared" si="2"/>
        <v>NÃO</v>
      </c>
    </row>
    <row r="65" spans="1:7" x14ac:dyDescent="0.3">
      <c r="A65" s="2">
        <v>64</v>
      </c>
      <c r="B65" s="2" t="s">
        <v>7</v>
      </c>
      <c r="C65" s="2">
        <v>3</v>
      </c>
      <c r="D65" s="2" t="str">
        <f t="shared" si="0"/>
        <v>SIM</v>
      </c>
      <c r="E65" s="2" t="str">
        <f t="shared" si="1"/>
        <v>NÃO</v>
      </c>
      <c r="F65" s="2" t="str">
        <f>IF(COUNTIFS($A$2:A65,A65,$B$2:B65,B65)&lt;=2,"SIM","NÃO")</f>
        <v>SIM</v>
      </c>
      <c r="G65" s="2" t="str">
        <f t="shared" si="2"/>
        <v>NÃO</v>
      </c>
    </row>
    <row r="66" spans="1:7" x14ac:dyDescent="0.3">
      <c r="A66" s="2">
        <v>65</v>
      </c>
      <c r="B66" s="2" t="s">
        <v>3</v>
      </c>
      <c r="C66" s="2">
        <v>2</v>
      </c>
      <c r="D66" s="2" t="str">
        <f t="shared" si="0"/>
        <v>SIM</v>
      </c>
      <c r="E66" s="2" t="str">
        <f t="shared" si="1"/>
        <v>SIM</v>
      </c>
      <c r="F66" s="2" t="str">
        <f>IF(COUNTIFS($A$2:A66,A66,$B$2:B66,B66)&lt;=2,"SIM","NÃO")</f>
        <v>SIM</v>
      </c>
      <c r="G66" s="2" t="str">
        <f t="shared" si="2"/>
        <v>SIM</v>
      </c>
    </row>
    <row r="67" spans="1:7" x14ac:dyDescent="0.3">
      <c r="A67" s="2">
        <v>66</v>
      </c>
      <c r="B67" s="2" t="s">
        <v>3</v>
      </c>
      <c r="C67" s="2">
        <v>1</v>
      </c>
      <c r="D67" s="2" t="str">
        <f t="shared" ref="D67:D130" si="3">IF(AND(C67&gt;0,C67&lt;=5),"SIM","NÃO")</f>
        <v>SIM</v>
      </c>
      <c r="E67" s="2" t="str">
        <f t="shared" ref="E67:E130" si="4">IF(OR(B67="A",B67="B",B67="C",B67="E"),"SIM","NÃO")</f>
        <v>SIM</v>
      </c>
      <c r="F67" s="2" t="str">
        <f>IF(COUNTIFS($A$2:A67,A67,$B$2:B67,B67)&lt;=2,"SIM","NÃO")</f>
        <v>SIM</v>
      </c>
      <c r="G67" s="2" t="str">
        <f t="shared" ref="G67:G130" si="5">IF(AND(D67="SIM",E67="SIM",F67="SIM"),"SIM","NÃO")</f>
        <v>SIM</v>
      </c>
    </row>
    <row r="68" spans="1:7" x14ac:dyDescent="0.3">
      <c r="A68" s="2">
        <v>67</v>
      </c>
      <c r="B68" s="2" t="s">
        <v>3</v>
      </c>
      <c r="C68" s="2">
        <v>1</v>
      </c>
      <c r="D68" s="2" t="str">
        <f t="shared" si="3"/>
        <v>SIM</v>
      </c>
      <c r="E68" s="2" t="str">
        <f t="shared" si="4"/>
        <v>SIM</v>
      </c>
      <c r="F68" s="2" t="str">
        <f>IF(COUNTIFS($A$2:A68,A68,$B$2:B68,B68)&lt;=2,"SIM","NÃO")</f>
        <v>SIM</v>
      </c>
      <c r="G68" s="2" t="str">
        <f t="shared" si="5"/>
        <v>SIM</v>
      </c>
    </row>
    <row r="69" spans="1:7" x14ac:dyDescent="0.3">
      <c r="A69" s="2">
        <v>68</v>
      </c>
      <c r="B69" s="2" t="s">
        <v>3</v>
      </c>
      <c r="C69" s="2">
        <v>3</v>
      </c>
      <c r="D69" s="2" t="str">
        <f t="shared" si="3"/>
        <v>SIM</v>
      </c>
      <c r="E69" s="2" t="str">
        <f t="shared" si="4"/>
        <v>SIM</v>
      </c>
      <c r="F69" s="2" t="str">
        <f>IF(COUNTIFS($A$2:A69,A69,$B$2:B69,B69)&lt;=2,"SIM","NÃO")</f>
        <v>SIM</v>
      </c>
      <c r="G69" s="2" t="str">
        <f t="shared" si="5"/>
        <v>SIM</v>
      </c>
    </row>
    <row r="70" spans="1:7" x14ac:dyDescent="0.3">
      <c r="A70" s="2">
        <v>69</v>
      </c>
      <c r="B70" s="2" t="s">
        <v>3</v>
      </c>
      <c r="C70" s="2">
        <v>2</v>
      </c>
      <c r="D70" s="2" t="str">
        <f t="shared" si="3"/>
        <v>SIM</v>
      </c>
      <c r="E70" s="2" t="str">
        <f t="shared" si="4"/>
        <v>SIM</v>
      </c>
      <c r="F70" s="2" t="str">
        <f>IF(COUNTIFS($A$2:A70,A70,$B$2:B70,B70)&lt;=2,"SIM","NÃO")</f>
        <v>SIM</v>
      </c>
      <c r="G70" s="2" t="str">
        <f t="shared" si="5"/>
        <v>SIM</v>
      </c>
    </row>
    <row r="71" spans="1:7" x14ac:dyDescent="0.3">
      <c r="A71" s="2">
        <v>70</v>
      </c>
      <c r="B71" s="2" t="s">
        <v>4</v>
      </c>
      <c r="C71" s="2">
        <v>5</v>
      </c>
      <c r="D71" s="2" t="str">
        <f t="shared" si="3"/>
        <v>SIM</v>
      </c>
      <c r="E71" s="2" t="str">
        <f t="shared" si="4"/>
        <v>SIM</v>
      </c>
      <c r="F71" s="2" t="str">
        <f>IF(COUNTIFS($A$2:A71,A71,$B$2:B71,B71)&lt;=2,"SIM","NÃO")</f>
        <v>SIM</v>
      </c>
      <c r="G71" s="2" t="str">
        <f t="shared" si="5"/>
        <v>SIM</v>
      </c>
    </row>
    <row r="72" spans="1:7" x14ac:dyDescent="0.3">
      <c r="A72" s="2">
        <v>71</v>
      </c>
      <c r="B72" s="2" t="s">
        <v>4</v>
      </c>
      <c r="C72" s="2">
        <v>5</v>
      </c>
      <c r="D72" s="2" t="str">
        <f t="shared" si="3"/>
        <v>SIM</v>
      </c>
      <c r="E72" s="2" t="str">
        <f t="shared" si="4"/>
        <v>SIM</v>
      </c>
      <c r="F72" s="2" t="str">
        <f>IF(COUNTIFS($A$2:A72,A72,$B$2:B72,B72)&lt;=2,"SIM","NÃO")</f>
        <v>SIM</v>
      </c>
      <c r="G72" s="2" t="str">
        <f t="shared" si="5"/>
        <v>SIM</v>
      </c>
    </row>
    <row r="73" spans="1:7" x14ac:dyDescent="0.3">
      <c r="A73" s="2">
        <v>72</v>
      </c>
      <c r="B73" s="2" t="s">
        <v>4</v>
      </c>
      <c r="C73" s="2">
        <v>5</v>
      </c>
      <c r="D73" s="2" t="str">
        <f t="shared" si="3"/>
        <v>SIM</v>
      </c>
      <c r="E73" s="2" t="str">
        <f t="shared" si="4"/>
        <v>SIM</v>
      </c>
      <c r="F73" s="2" t="str">
        <f>IF(COUNTIFS($A$2:A73,A73,$B$2:B73,B73)&lt;=2,"SIM","NÃO")</f>
        <v>SIM</v>
      </c>
      <c r="G73" s="2" t="str">
        <f t="shared" si="5"/>
        <v>SIM</v>
      </c>
    </row>
    <row r="74" spans="1:7" x14ac:dyDescent="0.3">
      <c r="A74" s="2">
        <v>73</v>
      </c>
      <c r="B74" s="2" t="s">
        <v>4</v>
      </c>
      <c r="C74" s="2">
        <v>5</v>
      </c>
      <c r="D74" s="2" t="str">
        <f t="shared" si="3"/>
        <v>SIM</v>
      </c>
      <c r="E74" s="2" t="str">
        <f t="shared" si="4"/>
        <v>SIM</v>
      </c>
      <c r="F74" s="2" t="str">
        <f>IF(COUNTIFS($A$2:A74,A74,$B$2:B74,B74)&lt;=2,"SIM","NÃO")</f>
        <v>SIM</v>
      </c>
      <c r="G74" s="2" t="str">
        <f t="shared" si="5"/>
        <v>SIM</v>
      </c>
    </row>
    <row r="75" spans="1:7" x14ac:dyDescent="0.3">
      <c r="A75" s="2">
        <v>74</v>
      </c>
      <c r="B75" s="2" t="s">
        <v>4</v>
      </c>
      <c r="C75" s="2">
        <v>5</v>
      </c>
      <c r="D75" s="2" t="str">
        <f t="shared" si="3"/>
        <v>SIM</v>
      </c>
      <c r="E75" s="2" t="str">
        <f t="shared" si="4"/>
        <v>SIM</v>
      </c>
      <c r="F75" s="2" t="str">
        <f>IF(COUNTIFS($A$2:A75,A75,$B$2:B75,B75)&lt;=2,"SIM","NÃO")</f>
        <v>SIM</v>
      </c>
      <c r="G75" s="2" t="str">
        <f t="shared" si="5"/>
        <v>SIM</v>
      </c>
    </row>
    <row r="76" spans="1:7" x14ac:dyDescent="0.3">
      <c r="A76" s="2">
        <v>75</v>
      </c>
      <c r="B76" s="2" t="s">
        <v>8</v>
      </c>
      <c r="C76" s="2">
        <v>5</v>
      </c>
      <c r="D76" s="2" t="str">
        <f t="shared" si="3"/>
        <v>SIM</v>
      </c>
      <c r="E76" s="2" t="str">
        <f t="shared" si="4"/>
        <v>SIM</v>
      </c>
      <c r="F76" s="2" t="str">
        <f>IF(COUNTIFS($A$2:A76,A76,$B$2:B76,B76)&lt;=2,"SIM","NÃO")</f>
        <v>SIM</v>
      </c>
      <c r="G76" s="2" t="str">
        <f t="shared" si="5"/>
        <v>SIM</v>
      </c>
    </row>
    <row r="77" spans="1:7" x14ac:dyDescent="0.3">
      <c r="A77" s="2">
        <v>76</v>
      </c>
      <c r="B77" s="2" t="s">
        <v>8</v>
      </c>
      <c r="C77" s="2">
        <v>2</v>
      </c>
      <c r="D77" s="2" t="str">
        <f t="shared" si="3"/>
        <v>SIM</v>
      </c>
      <c r="E77" s="2" t="str">
        <f t="shared" si="4"/>
        <v>SIM</v>
      </c>
      <c r="F77" s="2" t="str">
        <f>IF(COUNTIFS($A$2:A77,A77,$B$2:B77,B77)&lt;=2,"SIM","NÃO")</f>
        <v>SIM</v>
      </c>
      <c r="G77" s="2" t="str">
        <f t="shared" si="5"/>
        <v>SIM</v>
      </c>
    </row>
    <row r="78" spans="1:7" x14ac:dyDescent="0.3">
      <c r="A78" s="2">
        <v>77</v>
      </c>
      <c r="B78" s="2" t="s">
        <v>8</v>
      </c>
      <c r="C78" s="2">
        <v>5</v>
      </c>
      <c r="D78" s="2" t="str">
        <f t="shared" si="3"/>
        <v>SIM</v>
      </c>
      <c r="E78" s="2" t="str">
        <f t="shared" si="4"/>
        <v>SIM</v>
      </c>
      <c r="F78" s="2" t="str">
        <f>IF(COUNTIFS($A$2:A78,A78,$B$2:B78,B78)&lt;=2,"SIM","NÃO")</f>
        <v>SIM</v>
      </c>
      <c r="G78" s="2" t="str">
        <f t="shared" si="5"/>
        <v>SIM</v>
      </c>
    </row>
    <row r="79" spans="1:7" x14ac:dyDescent="0.3">
      <c r="A79" s="2">
        <v>78</v>
      </c>
      <c r="B79" s="2" t="s">
        <v>8</v>
      </c>
      <c r="C79" s="2">
        <v>1</v>
      </c>
      <c r="D79" s="2" t="str">
        <f t="shared" si="3"/>
        <v>SIM</v>
      </c>
      <c r="E79" s="2" t="str">
        <f t="shared" si="4"/>
        <v>SIM</v>
      </c>
      <c r="F79" s="2" t="str">
        <f>IF(COUNTIFS($A$2:A79,A79,$B$2:B79,B79)&lt;=2,"SIM","NÃO")</f>
        <v>SIM</v>
      </c>
      <c r="G79" s="2" t="str">
        <f t="shared" si="5"/>
        <v>SIM</v>
      </c>
    </row>
    <row r="80" spans="1:7" x14ac:dyDescent="0.3">
      <c r="A80" s="2">
        <v>79</v>
      </c>
      <c r="B80" s="2" t="s">
        <v>8</v>
      </c>
      <c r="C80" s="2">
        <v>3</v>
      </c>
      <c r="D80" s="2" t="str">
        <f t="shared" si="3"/>
        <v>SIM</v>
      </c>
      <c r="E80" s="2" t="str">
        <f t="shared" si="4"/>
        <v>SIM</v>
      </c>
      <c r="F80" s="2" t="str">
        <f>IF(COUNTIFS($A$2:A80,A80,$B$2:B80,B80)&lt;=2,"SIM","NÃO")</f>
        <v>SIM</v>
      </c>
      <c r="G80" s="2" t="str">
        <f t="shared" si="5"/>
        <v>SIM</v>
      </c>
    </row>
    <row r="81" spans="1:7" x14ac:dyDescent="0.3">
      <c r="A81" s="2">
        <v>80</v>
      </c>
      <c r="B81" s="2" t="s">
        <v>8</v>
      </c>
      <c r="C81" s="2">
        <v>6</v>
      </c>
      <c r="D81" s="2" t="str">
        <f t="shared" si="3"/>
        <v>NÃO</v>
      </c>
      <c r="E81" s="2" t="str">
        <f t="shared" si="4"/>
        <v>SIM</v>
      </c>
      <c r="F81" s="2" t="str">
        <f>IF(COUNTIFS($A$2:A81,A81,$B$2:B81,B81)&lt;=2,"SIM","NÃO")</f>
        <v>SIM</v>
      </c>
      <c r="G81" s="2" t="str">
        <f t="shared" si="5"/>
        <v>NÃO</v>
      </c>
    </row>
    <row r="82" spans="1:7" x14ac:dyDescent="0.3">
      <c r="A82" s="2">
        <v>81</v>
      </c>
      <c r="B82" s="2" t="s">
        <v>8</v>
      </c>
      <c r="C82" s="2">
        <v>2</v>
      </c>
      <c r="D82" s="2" t="str">
        <f t="shared" si="3"/>
        <v>SIM</v>
      </c>
      <c r="E82" s="2" t="str">
        <f t="shared" si="4"/>
        <v>SIM</v>
      </c>
      <c r="F82" s="2" t="str">
        <f>IF(COUNTIFS($A$2:A82,A82,$B$2:B82,B82)&lt;=2,"SIM","NÃO")</f>
        <v>SIM</v>
      </c>
      <c r="G82" s="2" t="str">
        <f t="shared" si="5"/>
        <v>SIM</v>
      </c>
    </row>
    <row r="83" spans="1:7" x14ac:dyDescent="0.3">
      <c r="A83" s="2">
        <v>82</v>
      </c>
      <c r="B83" s="2" t="s">
        <v>8</v>
      </c>
      <c r="C83" s="2">
        <v>4</v>
      </c>
      <c r="D83" s="2" t="str">
        <f t="shared" si="3"/>
        <v>SIM</v>
      </c>
      <c r="E83" s="2" t="str">
        <f t="shared" si="4"/>
        <v>SIM</v>
      </c>
      <c r="F83" s="2" t="str">
        <f>IF(COUNTIFS($A$2:A83,A83,$B$2:B83,B83)&lt;=2,"SIM","NÃO")</f>
        <v>SIM</v>
      </c>
      <c r="G83" s="2" t="str">
        <f t="shared" si="5"/>
        <v>SIM</v>
      </c>
    </row>
    <row r="84" spans="1:7" x14ac:dyDescent="0.3">
      <c r="A84" s="2">
        <v>83</v>
      </c>
      <c r="B84" s="2" t="s">
        <v>8</v>
      </c>
      <c r="C84" s="2">
        <v>5</v>
      </c>
      <c r="D84" s="2" t="str">
        <f t="shared" si="3"/>
        <v>SIM</v>
      </c>
      <c r="E84" s="2" t="str">
        <f t="shared" si="4"/>
        <v>SIM</v>
      </c>
      <c r="F84" s="2" t="str">
        <f>IF(COUNTIFS($A$2:A84,A84,$B$2:B84,B84)&lt;=2,"SIM","NÃO")</f>
        <v>SIM</v>
      </c>
      <c r="G84" s="2" t="str">
        <f t="shared" si="5"/>
        <v>SIM</v>
      </c>
    </row>
    <row r="85" spans="1:7" x14ac:dyDescent="0.3">
      <c r="A85" s="2">
        <v>84</v>
      </c>
      <c r="B85" s="2" t="s">
        <v>8</v>
      </c>
      <c r="C85" s="2">
        <v>2</v>
      </c>
      <c r="D85" s="2" t="str">
        <f t="shared" si="3"/>
        <v>SIM</v>
      </c>
      <c r="E85" s="2" t="str">
        <f t="shared" si="4"/>
        <v>SIM</v>
      </c>
      <c r="F85" s="2" t="str">
        <f>IF(COUNTIFS($A$2:A85,A85,$B$2:B85,B85)&lt;=2,"SIM","NÃO")</f>
        <v>SIM</v>
      </c>
      <c r="G85" s="2" t="str">
        <f t="shared" si="5"/>
        <v>SIM</v>
      </c>
    </row>
    <row r="86" spans="1:7" x14ac:dyDescent="0.3">
      <c r="A86" s="2">
        <v>85</v>
      </c>
      <c r="B86" s="2" t="s">
        <v>8</v>
      </c>
      <c r="C86" s="2">
        <v>1</v>
      </c>
      <c r="D86" s="2" t="str">
        <f t="shared" si="3"/>
        <v>SIM</v>
      </c>
      <c r="E86" s="2" t="str">
        <f t="shared" si="4"/>
        <v>SIM</v>
      </c>
      <c r="F86" s="2" t="str">
        <f>IF(COUNTIFS($A$2:A86,A86,$B$2:B86,B86)&lt;=2,"SIM","NÃO")</f>
        <v>SIM</v>
      </c>
      <c r="G86" s="2" t="str">
        <f t="shared" si="5"/>
        <v>SIM</v>
      </c>
    </row>
    <row r="87" spans="1:7" x14ac:dyDescent="0.3">
      <c r="A87" s="2">
        <v>86</v>
      </c>
      <c r="B87" s="2" t="s">
        <v>8</v>
      </c>
      <c r="C87" s="2">
        <v>2</v>
      </c>
      <c r="D87" s="2" t="str">
        <f t="shared" si="3"/>
        <v>SIM</v>
      </c>
      <c r="E87" s="2" t="str">
        <f t="shared" si="4"/>
        <v>SIM</v>
      </c>
      <c r="F87" s="2" t="str">
        <f>IF(COUNTIFS($A$2:A87,A87,$B$2:B87,B87)&lt;=2,"SIM","NÃO")</f>
        <v>SIM</v>
      </c>
      <c r="G87" s="2" t="str">
        <f t="shared" si="5"/>
        <v>SIM</v>
      </c>
    </row>
    <row r="88" spans="1:7" x14ac:dyDescent="0.3">
      <c r="A88" s="2">
        <v>87</v>
      </c>
      <c r="B88" s="2" t="s">
        <v>8</v>
      </c>
      <c r="C88" s="2">
        <v>2</v>
      </c>
      <c r="D88" s="2" t="str">
        <f t="shared" si="3"/>
        <v>SIM</v>
      </c>
      <c r="E88" s="2" t="str">
        <f t="shared" si="4"/>
        <v>SIM</v>
      </c>
      <c r="F88" s="2" t="str">
        <f>IF(COUNTIFS($A$2:A88,A88,$B$2:B88,B88)&lt;=2,"SIM","NÃO")</f>
        <v>SIM</v>
      </c>
      <c r="G88" s="2" t="str">
        <f t="shared" si="5"/>
        <v>SIM</v>
      </c>
    </row>
    <row r="89" spans="1:7" x14ac:dyDescent="0.3">
      <c r="A89" s="2">
        <v>88</v>
      </c>
      <c r="B89" s="2" t="s">
        <v>8</v>
      </c>
      <c r="C89" s="2">
        <v>4</v>
      </c>
      <c r="D89" s="2" t="str">
        <f t="shared" si="3"/>
        <v>SIM</v>
      </c>
      <c r="E89" s="2" t="str">
        <f t="shared" si="4"/>
        <v>SIM</v>
      </c>
      <c r="F89" s="2" t="str">
        <f>IF(COUNTIFS($A$2:A89,A89,$B$2:B89,B89)&lt;=2,"SIM","NÃO")</f>
        <v>SIM</v>
      </c>
      <c r="G89" s="2" t="str">
        <f t="shared" si="5"/>
        <v>SIM</v>
      </c>
    </row>
    <row r="90" spans="1:7" x14ac:dyDescent="0.3">
      <c r="A90" s="2">
        <v>89</v>
      </c>
      <c r="B90" s="2" t="s">
        <v>8</v>
      </c>
      <c r="C90" s="2">
        <v>5</v>
      </c>
      <c r="D90" s="2" t="str">
        <f t="shared" si="3"/>
        <v>SIM</v>
      </c>
      <c r="E90" s="2" t="str">
        <f t="shared" si="4"/>
        <v>SIM</v>
      </c>
      <c r="F90" s="2" t="str">
        <f>IF(COUNTIFS($A$2:A90,A90,$B$2:B90,B90)&lt;=2,"SIM","NÃO")</f>
        <v>SIM</v>
      </c>
      <c r="G90" s="2" t="str">
        <f t="shared" si="5"/>
        <v>SIM</v>
      </c>
    </row>
    <row r="91" spans="1:7" x14ac:dyDescent="0.3">
      <c r="A91" s="2">
        <v>90</v>
      </c>
      <c r="B91" s="2" t="s">
        <v>8</v>
      </c>
      <c r="C91" s="2">
        <v>1</v>
      </c>
      <c r="D91" s="2" t="str">
        <f t="shared" si="3"/>
        <v>SIM</v>
      </c>
      <c r="E91" s="2" t="str">
        <f t="shared" si="4"/>
        <v>SIM</v>
      </c>
      <c r="F91" s="2" t="str">
        <f>IF(COUNTIFS($A$2:A91,A91,$B$2:B91,B91)&lt;=2,"SIM","NÃO")</f>
        <v>SIM</v>
      </c>
      <c r="G91" s="2" t="str">
        <f t="shared" si="5"/>
        <v>SIM</v>
      </c>
    </row>
    <row r="92" spans="1:7" x14ac:dyDescent="0.3">
      <c r="A92" s="2">
        <v>91</v>
      </c>
      <c r="B92" s="2" t="s">
        <v>8</v>
      </c>
      <c r="C92" s="2"/>
      <c r="D92" s="2" t="str">
        <f t="shared" si="3"/>
        <v>NÃO</v>
      </c>
      <c r="E92" s="2" t="str">
        <f t="shared" si="4"/>
        <v>SIM</v>
      </c>
      <c r="F92" s="2" t="str">
        <f>IF(COUNTIFS($A$2:A92,A92,$B$2:B92,B92)&lt;=2,"SIM","NÃO")</f>
        <v>SIM</v>
      </c>
      <c r="G92" s="2" t="str">
        <f t="shared" si="5"/>
        <v>NÃO</v>
      </c>
    </row>
    <row r="93" spans="1:7" x14ac:dyDescent="0.3">
      <c r="A93" s="2">
        <v>92</v>
      </c>
      <c r="B93" s="2" t="s">
        <v>8</v>
      </c>
      <c r="C93" s="2">
        <v>3</v>
      </c>
      <c r="D93" s="2" t="str">
        <f t="shared" si="3"/>
        <v>SIM</v>
      </c>
      <c r="E93" s="2" t="str">
        <f t="shared" si="4"/>
        <v>SIM</v>
      </c>
      <c r="F93" s="2" t="str">
        <f>IF(COUNTIFS($A$2:A93,A93,$B$2:B93,B93)&lt;=2,"SIM","NÃO")</f>
        <v>SIM</v>
      </c>
      <c r="G93" s="2" t="str">
        <f t="shared" si="5"/>
        <v>SIM</v>
      </c>
    </row>
    <row r="94" spans="1:7" x14ac:dyDescent="0.3">
      <c r="A94" s="2">
        <v>93</v>
      </c>
      <c r="B94" s="2" t="s">
        <v>8</v>
      </c>
      <c r="C94" s="2">
        <v>0</v>
      </c>
      <c r="D94" s="2" t="str">
        <f t="shared" si="3"/>
        <v>NÃO</v>
      </c>
      <c r="E94" s="2" t="str">
        <f t="shared" si="4"/>
        <v>SIM</v>
      </c>
      <c r="F94" s="2" t="str">
        <f>IF(COUNTIFS($A$2:A94,A94,$B$2:B94,B94)&lt;=2,"SIM","NÃO")</f>
        <v>SIM</v>
      </c>
      <c r="G94" s="2" t="str">
        <f t="shared" si="5"/>
        <v>NÃO</v>
      </c>
    </row>
    <row r="95" spans="1:7" x14ac:dyDescent="0.3">
      <c r="A95" s="2">
        <v>94</v>
      </c>
      <c r="B95" s="2" t="s">
        <v>8</v>
      </c>
      <c r="C95" s="2">
        <v>4</v>
      </c>
      <c r="D95" s="2" t="str">
        <f t="shared" si="3"/>
        <v>SIM</v>
      </c>
      <c r="E95" s="2" t="str">
        <f t="shared" si="4"/>
        <v>SIM</v>
      </c>
      <c r="F95" s="2" t="str">
        <f>IF(COUNTIFS($A$2:A95,A95,$B$2:B95,B95)&lt;=2,"SIM","NÃO")</f>
        <v>SIM</v>
      </c>
      <c r="G95" s="2" t="str">
        <f t="shared" si="5"/>
        <v>SIM</v>
      </c>
    </row>
    <row r="96" spans="1:7" x14ac:dyDescent="0.3">
      <c r="A96" s="2">
        <v>95</v>
      </c>
      <c r="B96" s="2" t="s">
        <v>8</v>
      </c>
      <c r="C96" s="2">
        <v>3</v>
      </c>
      <c r="D96" s="2" t="str">
        <f t="shared" si="3"/>
        <v>SIM</v>
      </c>
      <c r="E96" s="2" t="str">
        <f t="shared" si="4"/>
        <v>SIM</v>
      </c>
      <c r="F96" s="2" t="str">
        <f>IF(COUNTIFS($A$2:A96,A96,$B$2:B96,B96)&lt;=2,"SIM","NÃO")</f>
        <v>SIM</v>
      </c>
      <c r="G96" s="2" t="str">
        <f t="shared" si="5"/>
        <v>SIM</v>
      </c>
    </row>
    <row r="97" spans="1:7" x14ac:dyDescent="0.3">
      <c r="A97" s="2">
        <v>96</v>
      </c>
      <c r="B97" s="2" t="s">
        <v>8</v>
      </c>
      <c r="C97" s="2">
        <v>5</v>
      </c>
      <c r="D97" s="2" t="str">
        <f t="shared" si="3"/>
        <v>SIM</v>
      </c>
      <c r="E97" s="2" t="str">
        <f t="shared" si="4"/>
        <v>SIM</v>
      </c>
      <c r="F97" s="2" t="str">
        <f>IF(COUNTIFS($A$2:A97,A97,$B$2:B97,B97)&lt;=2,"SIM","NÃO")</f>
        <v>SIM</v>
      </c>
      <c r="G97" s="2" t="str">
        <f t="shared" si="5"/>
        <v>SIM</v>
      </c>
    </row>
    <row r="98" spans="1:7" x14ac:dyDescent="0.3">
      <c r="A98" s="2">
        <v>97</v>
      </c>
      <c r="B98" s="2" t="s">
        <v>8</v>
      </c>
      <c r="C98" s="2">
        <v>4</v>
      </c>
      <c r="D98" s="2" t="str">
        <f t="shared" si="3"/>
        <v>SIM</v>
      </c>
      <c r="E98" s="2" t="str">
        <f t="shared" si="4"/>
        <v>SIM</v>
      </c>
      <c r="F98" s="2" t="str">
        <f>IF(COUNTIFS($A$2:A98,A98,$B$2:B98,B98)&lt;=2,"SIM","NÃO")</f>
        <v>SIM</v>
      </c>
      <c r="G98" s="2" t="str">
        <f t="shared" si="5"/>
        <v>SIM</v>
      </c>
    </row>
    <row r="99" spans="1:7" x14ac:dyDescent="0.3">
      <c r="A99" s="2">
        <v>98</v>
      </c>
      <c r="B99" s="2" t="s">
        <v>8</v>
      </c>
      <c r="C99" s="2">
        <v>5</v>
      </c>
      <c r="D99" s="2" t="str">
        <f t="shared" si="3"/>
        <v>SIM</v>
      </c>
      <c r="E99" s="2" t="str">
        <f t="shared" si="4"/>
        <v>SIM</v>
      </c>
      <c r="F99" s="2" t="str">
        <f>IF(COUNTIFS($A$2:A99,A99,$B$2:B99,B99)&lt;=2,"SIM","NÃO")</f>
        <v>SIM</v>
      </c>
      <c r="G99" s="2" t="str">
        <f t="shared" si="5"/>
        <v>SIM</v>
      </c>
    </row>
    <row r="100" spans="1:7" x14ac:dyDescent="0.3">
      <c r="A100" s="2">
        <v>99</v>
      </c>
      <c r="B100" s="2" t="s">
        <v>8</v>
      </c>
      <c r="C100" s="2">
        <v>2</v>
      </c>
      <c r="D100" s="2" t="str">
        <f t="shared" si="3"/>
        <v>SIM</v>
      </c>
      <c r="E100" s="2" t="str">
        <f t="shared" si="4"/>
        <v>SIM</v>
      </c>
      <c r="F100" s="2" t="str">
        <f>IF(COUNTIFS($A$2:A100,A100,$B$2:B100,B100)&lt;=2,"SIM","NÃO")</f>
        <v>SIM</v>
      </c>
      <c r="G100" s="2" t="str">
        <f t="shared" si="5"/>
        <v>SIM</v>
      </c>
    </row>
    <row r="101" spans="1:7" x14ac:dyDescent="0.3">
      <c r="A101" s="2">
        <v>100</v>
      </c>
      <c r="B101" s="2" t="s">
        <v>8</v>
      </c>
      <c r="C101" s="2">
        <v>1</v>
      </c>
      <c r="D101" s="2" t="str">
        <f t="shared" si="3"/>
        <v>SIM</v>
      </c>
      <c r="E101" s="2" t="str">
        <f t="shared" si="4"/>
        <v>SIM</v>
      </c>
      <c r="F101" s="2" t="str">
        <f>IF(COUNTIFS($A$2:A101,A101,$B$2:B101,B101)&lt;=2,"SIM","NÃO")</f>
        <v>SIM</v>
      </c>
      <c r="G101" s="2" t="str">
        <f t="shared" si="5"/>
        <v>SIM</v>
      </c>
    </row>
    <row r="102" spans="1:7" x14ac:dyDescent="0.3">
      <c r="A102" s="2">
        <v>29</v>
      </c>
      <c r="B102" s="2" t="s">
        <v>4</v>
      </c>
      <c r="C102" s="2">
        <v>5</v>
      </c>
      <c r="D102" s="2" t="str">
        <f t="shared" si="3"/>
        <v>SIM</v>
      </c>
      <c r="E102" s="2" t="str">
        <f t="shared" si="4"/>
        <v>SIM</v>
      </c>
      <c r="F102" s="2" t="str">
        <f>IF(COUNTIFS($A$2:A102,A102,$B$2:B102,B102)&lt;=2,"SIM","NÃO")</f>
        <v>SIM</v>
      </c>
      <c r="G102" s="2" t="str">
        <f t="shared" si="5"/>
        <v>SIM</v>
      </c>
    </row>
    <row r="103" spans="1:7" x14ac:dyDescent="0.3">
      <c r="A103" s="2">
        <v>29</v>
      </c>
      <c r="B103" s="2" t="s">
        <v>4</v>
      </c>
      <c r="C103" s="2">
        <v>5</v>
      </c>
      <c r="D103" s="2" t="str">
        <f t="shared" si="3"/>
        <v>SIM</v>
      </c>
      <c r="E103" s="2" t="str">
        <f t="shared" si="4"/>
        <v>SIM</v>
      </c>
      <c r="F103" s="2" t="str">
        <f>IF(COUNTIFS($A$2:A103,A103,$B$2:B103,B103)&lt;=2,"SIM","NÃO")</f>
        <v>NÃO</v>
      </c>
      <c r="G103" s="2" t="str">
        <f t="shared" si="5"/>
        <v>NÃO</v>
      </c>
    </row>
    <row r="104" spans="1:7" x14ac:dyDescent="0.3">
      <c r="A104" s="2">
        <v>84</v>
      </c>
      <c r="B104" s="2" t="s">
        <v>8</v>
      </c>
      <c r="C104" s="2">
        <v>2</v>
      </c>
      <c r="D104" s="2" t="str">
        <f t="shared" si="3"/>
        <v>SIM</v>
      </c>
      <c r="E104" s="2" t="str">
        <f t="shared" si="4"/>
        <v>SIM</v>
      </c>
      <c r="F104" s="2" t="str">
        <f>IF(COUNTIFS($A$2:A104,A104,$B$2:B104,B104)&lt;=2,"SIM","NÃO")</f>
        <v>SIM</v>
      </c>
      <c r="G104" s="2" t="str">
        <f t="shared" si="5"/>
        <v>SIM</v>
      </c>
    </row>
    <row r="105" spans="1:7" x14ac:dyDescent="0.3">
      <c r="A105" s="2">
        <v>84</v>
      </c>
      <c r="B105" s="2" t="s">
        <v>8</v>
      </c>
      <c r="C105" s="2">
        <v>2</v>
      </c>
      <c r="D105" s="2" t="str">
        <f t="shared" si="3"/>
        <v>SIM</v>
      </c>
      <c r="E105" s="2" t="str">
        <f t="shared" si="4"/>
        <v>SIM</v>
      </c>
      <c r="F105" s="2" t="str">
        <f>IF(COUNTIFS($A$2:A105,A105,$B$2:B105,B105)&lt;=2,"SIM","NÃO")</f>
        <v>NÃO</v>
      </c>
      <c r="G105" s="2" t="str">
        <f t="shared" si="5"/>
        <v>NÃO</v>
      </c>
    </row>
    <row r="106" spans="1:7" x14ac:dyDescent="0.3">
      <c r="A106" s="2">
        <v>24</v>
      </c>
      <c r="B106" s="2" t="s">
        <v>3</v>
      </c>
      <c r="C106" s="2">
        <v>1</v>
      </c>
      <c r="D106" s="2" t="str">
        <f t="shared" si="3"/>
        <v>SIM</v>
      </c>
      <c r="E106" s="2" t="str">
        <f t="shared" si="4"/>
        <v>SIM</v>
      </c>
      <c r="F106" s="2" t="str">
        <f>IF(COUNTIFS($A$2:A106,A106,$B$2:B106,B106)&lt;=2,"SIM","NÃO")</f>
        <v>SIM</v>
      </c>
      <c r="G106" s="2" t="str">
        <f t="shared" si="5"/>
        <v>SIM</v>
      </c>
    </row>
    <row r="107" spans="1:7" x14ac:dyDescent="0.3">
      <c r="A107" s="2">
        <v>24</v>
      </c>
      <c r="B107" s="2" t="s">
        <v>3</v>
      </c>
      <c r="C107" s="2">
        <v>1</v>
      </c>
      <c r="D107" s="2" t="str">
        <f t="shared" si="3"/>
        <v>SIM</v>
      </c>
      <c r="E107" s="2" t="str">
        <f t="shared" si="4"/>
        <v>SIM</v>
      </c>
      <c r="F107" s="2" t="str">
        <f>IF(COUNTIFS($A$2:A107,A107,$B$2:B107,B107)&lt;=2,"SIM","NÃO")</f>
        <v>NÃO</v>
      </c>
      <c r="G107" s="2" t="str">
        <f t="shared" si="5"/>
        <v>NÃO</v>
      </c>
    </row>
    <row r="108" spans="1:7" x14ac:dyDescent="0.3">
      <c r="A108" s="2">
        <v>72</v>
      </c>
      <c r="B108" s="2" t="s">
        <v>4</v>
      </c>
      <c r="C108" s="2">
        <v>1</v>
      </c>
      <c r="D108" s="2" t="str">
        <f t="shared" si="3"/>
        <v>SIM</v>
      </c>
      <c r="E108" s="2" t="str">
        <f t="shared" si="4"/>
        <v>SIM</v>
      </c>
      <c r="F108" s="2" t="str">
        <f>IF(COUNTIFS($A$2:A108,A108,$B$2:B108,B108)&lt;=2,"SIM","NÃO")</f>
        <v>SIM</v>
      </c>
      <c r="G108" s="2" t="str">
        <f t="shared" si="5"/>
        <v>SIM</v>
      </c>
    </row>
    <row r="109" spans="1:7" x14ac:dyDescent="0.3">
      <c r="A109" s="2">
        <v>73</v>
      </c>
      <c r="B109" s="2" t="s">
        <v>4</v>
      </c>
      <c r="C109" s="2">
        <v>5</v>
      </c>
      <c r="D109" s="2" t="str">
        <f t="shared" si="3"/>
        <v>SIM</v>
      </c>
      <c r="E109" s="2" t="str">
        <f t="shared" si="4"/>
        <v>SIM</v>
      </c>
      <c r="F109" s="2" t="str">
        <f>IF(COUNTIFS($A$2:A109,A109,$B$2:B109,B109)&lt;=2,"SIM","NÃO")</f>
        <v>SIM</v>
      </c>
      <c r="G109" s="2" t="str">
        <f t="shared" si="5"/>
        <v>SIM</v>
      </c>
    </row>
    <row r="110" spans="1:7" x14ac:dyDescent="0.3">
      <c r="A110" s="2">
        <v>74</v>
      </c>
      <c r="B110" s="2" t="s">
        <v>4</v>
      </c>
      <c r="C110" s="2">
        <v>5</v>
      </c>
      <c r="D110" s="2" t="str">
        <f t="shared" si="3"/>
        <v>SIM</v>
      </c>
      <c r="E110" s="2" t="str">
        <f t="shared" si="4"/>
        <v>SIM</v>
      </c>
      <c r="F110" s="2" t="str">
        <f>IF(COUNTIFS($A$2:A110,A110,$B$2:B110,B110)&lt;=2,"SIM","NÃO")</f>
        <v>SIM</v>
      </c>
      <c r="G110" s="2" t="str">
        <f t="shared" si="5"/>
        <v>SIM</v>
      </c>
    </row>
    <row r="111" spans="1:7" x14ac:dyDescent="0.3">
      <c r="A111" s="2">
        <v>75</v>
      </c>
      <c r="B111" s="2" t="s">
        <v>8</v>
      </c>
      <c r="C111" s="2">
        <v>5</v>
      </c>
      <c r="D111" s="2" t="str">
        <f t="shared" si="3"/>
        <v>SIM</v>
      </c>
      <c r="E111" s="2" t="str">
        <f t="shared" si="4"/>
        <v>SIM</v>
      </c>
      <c r="F111" s="2" t="str">
        <f>IF(COUNTIFS($A$2:A111,A111,$B$2:B111,B111)&lt;=2,"SIM","NÃO")</f>
        <v>SIM</v>
      </c>
      <c r="G111" s="2" t="str">
        <f t="shared" si="5"/>
        <v>SIM</v>
      </c>
    </row>
    <row r="112" spans="1:7" x14ac:dyDescent="0.3">
      <c r="A112" s="2">
        <v>76</v>
      </c>
      <c r="B112" s="2" t="s">
        <v>8</v>
      </c>
      <c r="C112" s="2">
        <v>2</v>
      </c>
      <c r="D112" s="2" t="str">
        <f t="shared" si="3"/>
        <v>SIM</v>
      </c>
      <c r="E112" s="2" t="str">
        <f t="shared" si="4"/>
        <v>SIM</v>
      </c>
      <c r="F112" s="2" t="str">
        <f>IF(COUNTIFS($A$2:A112,A112,$B$2:B112,B112)&lt;=2,"SIM","NÃO")</f>
        <v>SIM</v>
      </c>
      <c r="G112" s="2" t="str">
        <f t="shared" si="5"/>
        <v>SIM</v>
      </c>
    </row>
    <row r="113" spans="1:7" x14ac:dyDescent="0.3">
      <c r="A113" s="2">
        <v>39</v>
      </c>
      <c r="B113" s="2" t="s">
        <v>5</v>
      </c>
      <c r="C113" s="2">
        <v>4</v>
      </c>
      <c r="D113" s="2" t="str">
        <f t="shared" si="3"/>
        <v>SIM</v>
      </c>
      <c r="E113" s="2" t="str">
        <f t="shared" si="4"/>
        <v>SIM</v>
      </c>
      <c r="F113" s="2" t="str">
        <f>IF(COUNTIFS($A$2:A113,A113,$B$2:B113,B113)&lt;=2,"SIM","NÃO")</f>
        <v>SIM</v>
      </c>
      <c r="G113" s="2" t="str">
        <f t="shared" si="5"/>
        <v>SIM</v>
      </c>
    </row>
    <row r="114" spans="1:7" x14ac:dyDescent="0.3">
      <c r="A114" s="2">
        <v>40</v>
      </c>
      <c r="B114" s="2" t="s">
        <v>5</v>
      </c>
      <c r="C114" s="2">
        <v>1</v>
      </c>
      <c r="D114" s="2" t="str">
        <f t="shared" si="3"/>
        <v>SIM</v>
      </c>
      <c r="E114" s="2" t="str">
        <f t="shared" si="4"/>
        <v>SIM</v>
      </c>
      <c r="F114" s="2" t="str">
        <f>IF(COUNTIFS($A$2:A114,A114,$B$2:B114,B114)&lt;=2,"SIM","NÃO")</f>
        <v>SIM</v>
      </c>
      <c r="G114" s="2" t="str">
        <f t="shared" si="5"/>
        <v>SIM</v>
      </c>
    </row>
    <row r="115" spans="1:7" x14ac:dyDescent="0.3">
      <c r="A115" s="2">
        <v>41</v>
      </c>
      <c r="B115" s="2" t="s">
        <v>5</v>
      </c>
      <c r="C115" s="2">
        <v>3</v>
      </c>
      <c r="D115" s="2" t="str">
        <f t="shared" si="3"/>
        <v>SIM</v>
      </c>
      <c r="E115" s="2" t="str">
        <f t="shared" si="4"/>
        <v>SIM</v>
      </c>
      <c r="F115" s="2" t="str">
        <f>IF(COUNTIFS($A$2:A115,A115,$B$2:B115,B115)&lt;=2,"SIM","NÃO")</f>
        <v>SIM</v>
      </c>
      <c r="G115" s="2" t="str">
        <f t="shared" si="5"/>
        <v>SIM</v>
      </c>
    </row>
    <row r="116" spans="1:7" x14ac:dyDescent="0.3">
      <c r="A116" s="2">
        <v>9</v>
      </c>
      <c r="B116" s="2" t="s">
        <v>5</v>
      </c>
      <c r="C116" s="2">
        <v>5</v>
      </c>
      <c r="D116" s="2" t="str">
        <f t="shared" si="3"/>
        <v>SIM</v>
      </c>
      <c r="E116" s="2" t="str">
        <f t="shared" si="4"/>
        <v>SIM</v>
      </c>
      <c r="F116" s="2" t="str">
        <f>IF(COUNTIFS($A$2:A116,A116,$B$2:B116,B116)&lt;=2,"SIM","NÃO")</f>
        <v>SIM</v>
      </c>
      <c r="G116" s="2" t="str">
        <f t="shared" si="5"/>
        <v>SIM</v>
      </c>
    </row>
    <row r="117" spans="1:7" x14ac:dyDescent="0.3">
      <c r="A117" s="2">
        <v>10</v>
      </c>
      <c r="B117" s="2" t="s">
        <v>5</v>
      </c>
      <c r="C117" s="2">
        <v>3</v>
      </c>
      <c r="D117" s="2" t="str">
        <f t="shared" si="3"/>
        <v>SIM</v>
      </c>
      <c r="E117" s="2" t="str">
        <f t="shared" si="4"/>
        <v>SIM</v>
      </c>
      <c r="F117" s="2" t="str">
        <f>IF(COUNTIFS($A$2:A117,A117,$B$2:B117,B117)&lt;=2,"SIM","NÃO")</f>
        <v>SIM</v>
      </c>
      <c r="G117" s="2" t="str">
        <f t="shared" si="5"/>
        <v>SIM</v>
      </c>
    </row>
    <row r="118" spans="1:7" x14ac:dyDescent="0.3">
      <c r="A118" s="2">
        <v>11</v>
      </c>
      <c r="B118" s="2" t="s">
        <v>3</v>
      </c>
      <c r="C118" s="2">
        <v>1</v>
      </c>
      <c r="D118" s="2" t="str">
        <f t="shared" si="3"/>
        <v>SIM</v>
      </c>
      <c r="E118" s="2" t="str">
        <f t="shared" si="4"/>
        <v>SIM</v>
      </c>
      <c r="F118" s="2" t="str">
        <f>IF(COUNTIFS($A$2:A118,A118,$B$2:B118,B118)&lt;=2,"SIM","NÃO")</f>
        <v>SIM</v>
      </c>
      <c r="G118" s="2" t="str">
        <f t="shared" si="5"/>
        <v>SIM</v>
      </c>
    </row>
    <row r="119" spans="1:7" x14ac:dyDescent="0.3">
      <c r="A119" s="2">
        <v>12</v>
      </c>
      <c r="B119" s="2" t="s">
        <v>3</v>
      </c>
      <c r="C119" s="2">
        <v>2</v>
      </c>
      <c r="D119" s="2" t="str">
        <f t="shared" si="3"/>
        <v>SIM</v>
      </c>
      <c r="E119" s="2" t="str">
        <f t="shared" si="4"/>
        <v>SIM</v>
      </c>
      <c r="F119" s="2" t="str">
        <f>IF(COUNTIFS($A$2:A119,A119,$B$2:B119,B119)&lt;=2,"SIM","NÃO")</f>
        <v>SIM</v>
      </c>
      <c r="G119" s="2" t="str">
        <f t="shared" si="5"/>
        <v>SIM</v>
      </c>
    </row>
    <row r="120" spans="1:7" x14ac:dyDescent="0.3">
      <c r="A120" s="2">
        <v>5</v>
      </c>
      <c r="B120" s="2" t="s">
        <v>4</v>
      </c>
      <c r="C120" s="2">
        <v>5</v>
      </c>
      <c r="D120" s="2" t="str">
        <f t="shared" si="3"/>
        <v>SIM</v>
      </c>
      <c r="E120" s="2" t="str">
        <f t="shared" si="4"/>
        <v>SIM</v>
      </c>
      <c r="F120" s="2" t="str">
        <f>IF(COUNTIFS($A$2:A120,A120,$B$2:B120,B120)&lt;=2,"SIM","NÃO")</f>
        <v>SIM</v>
      </c>
      <c r="G120" s="2" t="str">
        <f t="shared" si="5"/>
        <v>SIM</v>
      </c>
    </row>
    <row r="121" spans="1:7" x14ac:dyDescent="0.3">
      <c r="A121" s="2">
        <v>6</v>
      </c>
      <c r="B121" s="2" t="s">
        <v>4</v>
      </c>
      <c r="C121" s="2">
        <v>5</v>
      </c>
      <c r="D121" s="2" t="str">
        <f t="shared" si="3"/>
        <v>SIM</v>
      </c>
      <c r="E121" s="2" t="str">
        <f t="shared" si="4"/>
        <v>SIM</v>
      </c>
      <c r="F121" s="2" t="str">
        <f>IF(COUNTIFS($A$2:A121,A121,$B$2:B121,B121)&lt;=2,"SIM","NÃO")</f>
        <v>SIM</v>
      </c>
      <c r="G121" s="2" t="str">
        <f t="shared" si="5"/>
        <v>SIM</v>
      </c>
    </row>
    <row r="122" spans="1:7" x14ac:dyDescent="0.3">
      <c r="A122" s="2">
        <v>97</v>
      </c>
      <c r="B122" s="2" t="s">
        <v>8</v>
      </c>
      <c r="C122" s="2">
        <v>4</v>
      </c>
      <c r="D122" s="2" t="str">
        <f t="shared" si="3"/>
        <v>SIM</v>
      </c>
      <c r="E122" s="2" t="str">
        <f t="shared" si="4"/>
        <v>SIM</v>
      </c>
      <c r="F122" s="2" t="str">
        <f>IF(COUNTIFS($A$2:A122,A122,$B$2:B122,B122)&lt;=2,"SIM","NÃO")</f>
        <v>SIM</v>
      </c>
      <c r="G122" s="2" t="str">
        <f t="shared" si="5"/>
        <v>SIM</v>
      </c>
    </row>
    <row r="123" spans="1:7" x14ac:dyDescent="0.3">
      <c r="A123" s="2">
        <v>98</v>
      </c>
      <c r="B123" s="2" t="s">
        <v>8</v>
      </c>
      <c r="C123" s="2">
        <v>5</v>
      </c>
      <c r="D123" s="2" t="str">
        <f t="shared" si="3"/>
        <v>SIM</v>
      </c>
      <c r="E123" s="2" t="str">
        <f t="shared" si="4"/>
        <v>SIM</v>
      </c>
      <c r="F123" s="2" t="str">
        <f>IF(COUNTIFS($A$2:A123,A123,$B$2:B123,B123)&lt;=2,"SIM","NÃO")</f>
        <v>SIM</v>
      </c>
      <c r="G123" s="2" t="str">
        <f t="shared" si="5"/>
        <v>SIM</v>
      </c>
    </row>
    <row r="124" spans="1:7" x14ac:dyDescent="0.3">
      <c r="A124" s="2">
        <v>99</v>
      </c>
      <c r="B124" s="2" t="s">
        <v>8</v>
      </c>
      <c r="C124" s="2">
        <v>2</v>
      </c>
      <c r="D124" s="2" t="str">
        <f t="shared" si="3"/>
        <v>SIM</v>
      </c>
      <c r="E124" s="2" t="str">
        <f t="shared" si="4"/>
        <v>SIM</v>
      </c>
      <c r="F124" s="2" t="str">
        <f>IF(COUNTIFS($A$2:A124,A124,$B$2:B124,B124)&lt;=2,"SIM","NÃO")</f>
        <v>SIM</v>
      </c>
      <c r="G124" s="2" t="str">
        <f t="shared" si="5"/>
        <v>SIM</v>
      </c>
    </row>
    <row r="125" spans="1:7" x14ac:dyDescent="0.3">
      <c r="A125" s="2">
        <v>66</v>
      </c>
      <c r="B125" s="2" t="s">
        <v>3</v>
      </c>
      <c r="C125" s="2">
        <v>1</v>
      </c>
      <c r="D125" s="2" t="str">
        <f t="shared" si="3"/>
        <v>SIM</v>
      </c>
      <c r="E125" s="2" t="str">
        <f t="shared" si="4"/>
        <v>SIM</v>
      </c>
      <c r="F125" s="2" t="str">
        <f>IF(COUNTIFS($A$2:A125,A125,$B$2:B125,B125)&lt;=2,"SIM","NÃO")</f>
        <v>SIM</v>
      </c>
      <c r="G125" s="2" t="str">
        <f t="shared" si="5"/>
        <v>SIM</v>
      </c>
    </row>
    <row r="126" spans="1:7" x14ac:dyDescent="0.3">
      <c r="A126" s="2">
        <v>67</v>
      </c>
      <c r="B126" s="2" t="s">
        <v>3</v>
      </c>
      <c r="C126" s="2">
        <v>1</v>
      </c>
      <c r="D126" s="2" t="str">
        <f t="shared" si="3"/>
        <v>SIM</v>
      </c>
      <c r="E126" s="2" t="str">
        <f t="shared" si="4"/>
        <v>SIM</v>
      </c>
      <c r="F126" s="2" t="str">
        <f>IF(COUNTIFS($A$2:A126,A126,$B$2:B126,B126)&lt;=2,"SIM","NÃO")</f>
        <v>SIM</v>
      </c>
      <c r="G126" s="2" t="str">
        <f t="shared" si="5"/>
        <v>SIM</v>
      </c>
    </row>
    <row r="127" spans="1:7" x14ac:dyDescent="0.3">
      <c r="A127" s="2">
        <v>68</v>
      </c>
      <c r="B127" s="2" t="s">
        <v>3</v>
      </c>
      <c r="C127" s="2">
        <v>1</v>
      </c>
      <c r="D127" s="2" t="str">
        <f t="shared" si="3"/>
        <v>SIM</v>
      </c>
      <c r="E127" s="2" t="str">
        <f t="shared" si="4"/>
        <v>SIM</v>
      </c>
      <c r="F127" s="2" t="str">
        <f>IF(COUNTIFS($A$2:A127,A127,$B$2:B127,B127)&lt;=2,"SIM","NÃO")</f>
        <v>SIM</v>
      </c>
      <c r="G127" s="2" t="str">
        <f t="shared" si="5"/>
        <v>SIM</v>
      </c>
    </row>
    <row r="128" spans="1:7" x14ac:dyDescent="0.3">
      <c r="A128" s="2">
        <v>69</v>
      </c>
      <c r="B128" s="2" t="s">
        <v>3</v>
      </c>
      <c r="C128" s="2">
        <v>1</v>
      </c>
      <c r="D128" s="2" t="str">
        <f t="shared" si="3"/>
        <v>SIM</v>
      </c>
      <c r="E128" s="2" t="str">
        <f t="shared" si="4"/>
        <v>SIM</v>
      </c>
      <c r="F128" s="2" t="str">
        <f>IF(COUNTIFS($A$2:A128,A128,$B$2:B128,B128)&lt;=2,"SIM","NÃO")</f>
        <v>SIM</v>
      </c>
      <c r="G128" s="2" t="str">
        <f t="shared" si="5"/>
        <v>SIM</v>
      </c>
    </row>
    <row r="129" spans="1:7" x14ac:dyDescent="0.3">
      <c r="A129" s="2">
        <v>70</v>
      </c>
      <c r="B129" s="2" t="s">
        <v>4</v>
      </c>
      <c r="C129" s="2" t="s">
        <v>5</v>
      </c>
      <c r="D129" s="2" t="str">
        <f t="shared" si="3"/>
        <v>NÃO</v>
      </c>
      <c r="E129" s="2" t="str">
        <f t="shared" si="4"/>
        <v>SIM</v>
      </c>
      <c r="F129" s="2" t="str">
        <f>IF(COUNTIFS($A$2:A129,A129,$B$2:B129,B129)&lt;=2,"SIM","NÃO")</f>
        <v>SIM</v>
      </c>
      <c r="G129" s="2" t="str">
        <f t="shared" si="5"/>
        <v>NÃO</v>
      </c>
    </row>
    <row r="130" spans="1:7" x14ac:dyDescent="0.3">
      <c r="A130" s="2">
        <v>29</v>
      </c>
      <c r="B130" s="2" t="s">
        <v>4</v>
      </c>
      <c r="C130" s="2">
        <v>5</v>
      </c>
      <c r="D130" s="2" t="str">
        <f t="shared" si="3"/>
        <v>SIM</v>
      </c>
      <c r="E130" s="2" t="str">
        <f t="shared" si="4"/>
        <v>SIM</v>
      </c>
      <c r="F130" s="2" t="str">
        <f>IF(COUNTIFS($A$2:A130,A130,$B$2:B130,B130)&lt;=2,"SIM","NÃO")</f>
        <v>NÃO</v>
      </c>
      <c r="G130" s="2" t="str">
        <f t="shared" si="5"/>
        <v>NÃO</v>
      </c>
    </row>
    <row r="131" spans="1:7" x14ac:dyDescent="0.3">
      <c r="A131" s="2">
        <v>30</v>
      </c>
      <c r="B131" s="2" t="s">
        <v>5</v>
      </c>
      <c r="C131" s="2">
        <v>1</v>
      </c>
      <c r="D131" s="2" t="str">
        <f t="shared" ref="D131:D194" si="6">IF(AND(C131&gt;0,C131&lt;=5),"SIM","NÃO")</f>
        <v>SIM</v>
      </c>
      <c r="E131" s="2" t="str">
        <f t="shared" ref="E131:E194" si="7">IF(OR(B131="A",B131="B",B131="C",B131="E"),"SIM","NÃO")</f>
        <v>SIM</v>
      </c>
      <c r="F131" s="2" t="str">
        <f>IF(COUNTIFS($A$2:A131,A131,$B$2:B131,B131)&lt;=2,"SIM","NÃO")</f>
        <v>SIM</v>
      </c>
      <c r="G131" s="2" t="str">
        <f t="shared" ref="G131:G194" si="8">IF(AND(D131="SIM",E131="SIM",F131="SIM"),"SIM","NÃO")</f>
        <v>SIM</v>
      </c>
    </row>
    <row r="132" spans="1:7" x14ac:dyDescent="0.3">
      <c r="A132" s="2">
        <v>31</v>
      </c>
      <c r="B132" s="2" t="s">
        <v>5</v>
      </c>
      <c r="C132" s="2">
        <v>4</v>
      </c>
      <c r="D132" s="2" t="str">
        <f t="shared" si="6"/>
        <v>SIM</v>
      </c>
      <c r="E132" s="2" t="str">
        <f t="shared" si="7"/>
        <v>SIM</v>
      </c>
      <c r="F132" s="2" t="str">
        <f>IF(COUNTIFS($A$2:A132,A132,$B$2:B132,B132)&lt;=2,"SIM","NÃO")</f>
        <v>SIM</v>
      </c>
      <c r="G132" s="2" t="str">
        <f t="shared" si="8"/>
        <v>SIM</v>
      </c>
    </row>
    <row r="133" spans="1:7" x14ac:dyDescent="0.3">
      <c r="A133" s="2">
        <v>32</v>
      </c>
      <c r="B133" s="2" t="s">
        <v>5</v>
      </c>
      <c r="C133" s="2">
        <v>2</v>
      </c>
      <c r="D133" s="2" t="str">
        <f t="shared" si="6"/>
        <v>SIM</v>
      </c>
      <c r="E133" s="2" t="str">
        <f t="shared" si="7"/>
        <v>SIM</v>
      </c>
      <c r="F133" s="2" t="str">
        <f>IF(COUNTIFS($A$2:A133,A133,$B$2:B133,B133)&lt;=2,"SIM","NÃO")</f>
        <v>SIM</v>
      </c>
      <c r="G133" s="2" t="str">
        <f t="shared" si="8"/>
        <v>SIM</v>
      </c>
    </row>
    <row r="134" spans="1:7" x14ac:dyDescent="0.3">
      <c r="A134" s="2">
        <v>33</v>
      </c>
      <c r="B134" s="2" t="s">
        <v>5</v>
      </c>
      <c r="C134" s="2">
        <v>4</v>
      </c>
      <c r="D134" s="2" t="str">
        <f t="shared" si="6"/>
        <v>SIM</v>
      </c>
      <c r="E134" s="2" t="str">
        <f t="shared" si="7"/>
        <v>SIM</v>
      </c>
      <c r="F134" s="2" t="str">
        <f>IF(COUNTIFS($A$2:A134,A134,$B$2:B134,B134)&lt;=2,"SIM","NÃO")</f>
        <v>SIM</v>
      </c>
      <c r="G134" s="2" t="str">
        <f t="shared" si="8"/>
        <v>SIM</v>
      </c>
    </row>
    <row r="135" spans="1:7" x14ac:dyDescent="0.3">
      <c r="A135" s="2">
        <v>9</v>
      </c>
      <c r="B135" s="2" t="s">
        <v>5</v>
      </c>
      <c r="C135" s="2">
        <v>5</v>
      </c>
      <c r="D135" s="2" t="str">
        <f t="shared" si="6"/>
        <v>SIM</v>
      </c>
      <c r="E135" s="2" t="str">
        <f t="shared" si="7"/>
        <v>SIM</v>
      </c>
      <c r="F135" s="2" t="str">
        <f>IF(COUNTIFS($A$2:A135,A135,$B$2:B135,B135)&lt;=2,"SIM","NÃO")</f>
        <v>NÃO</v>
      </c>
      <c r="G135" s="2" t="str">
        <f t="shared" si="8"/>
        <v>NÃO</v>
      </c>
    </row>
    <row r="136" spans="1:7" x14ac:dyDescent="0.3">
      <c r="A136" s="2">
        <v>10</v>
      </c>
      <c r="B136" s="2" t="s">
        <v>5</v>
      </c>
      <c r="C136" s="2">
        <v>3</v>
      </c>
      <c r="D136" s="2" t="str">
        <f t="shared" si="6"/>
        <v>SIM</v>
      </c>
      <c r="E136" s="2" t="str">
        <f t="shared" si="7"/>
        <v>SIM</v>
      </c>
      <c r="F136" s="2" t="str">
        <f>IF(COUNTIFS($A$2:A136,A136,$B$2:B136,B136)&lt;=2,"SIM","NÃO")</f>
        <v>NÃO</v>
      </c>
      <c r="G136" s="2" t="str">
        <f t="shared" si="8"/>
        <v>NÃO</v>
      </c>
    </row>
    <row r="137" spans="1:7" x14ac:dyDescent="0.3">
      <c r="A137" s="2">
        <v>11</v>
      </c>
      <c r="B137" s="2" t="s">
        <v>3</v>
      </c>
      <c r="C137" s="2">
        <v>1</v>
      </c>
      <c r="D137" s="2" t="str">
        <f t="shared" si="6"/>
        <v>SIM</v>
      </c>
      <c r="E137" s="2" t="str">
        <f t="shared" si="7"/>
        <v>SIM</v>
      </c>
      <c r="F137" s="2" t="str">
        <f>IF(COUNTIFS($A$2:A137,A137,$B$2:B137,B137)&lt;=2,"SIM","NÃO")</f>
        <v>NÃO</v>
      </c>
      <c r="G137" s="2" t="str">
        <f t="shared" si="8"/>
        <v>NÃO</v>
      </c>
    </row>
    <row r="138" spans="1:7" x14ac:dyDescent="0.3">
      <c r="A138" s="2">
        <v>1</v>
      </c>
      <c r="B138" s="2" t="s">
        <v>6</v>
      </c>
      <c r="C138" s="2">
        <v>1</v>
      </c>
      <c r="D138" s="2" t="str">
        <f t="shared" si="6"/>
        <v>SIM</v>
      </c>
      <c r="E138" s="2" t="str">
        <f t="shared" si="7"/>
        <v>NÃO</v>
      </c>
      <c r="F138" s="2" t="str">
        <f>IF(COUNTIFS($A$2:A138,A138,$B$2:B138,B138)&lt;=2,"SIM","NÃO")</f>
        <v>SIM</v>
      </c>
      <c r="G138" s="2" t="str">
        <f t="shared" si="8"/>
        <v>NÃO</v>
      </c>
    </row>
    <row r="139" spans="1:7" x14ac:dyDescent="0.3">
      <c r="A139" s="2" t="s">
        <v>8</v>
      </c>
      <c r="B139" s="2" t="s">
        <v>6</v>
      </c>
      <c r="C139" s="2">
        <v>1</v>
      </c>
      <c r="D139" s="2" t="str">
        <f t="shared" si="6"/>
        <v>SIM</v>
      </c>
      <c r="E139" s="2" t="str">
        <f t="shared" si="7"/>
        <v>NÃO</v>
      </c>
      <c r="F139" s="2" t="str">
        <f>IF(COUNTIFS($A$2:A139,A139,$B$2:B139,B139)&lt;=2,"SIM","NÃO")</f>
        <v>SIM</v>
      </c>
      <c r="G139" s="2" t="str">
        <f t="shared" si="8"/>
        <v>NÃO</v>
      </c>
    </row>
    <row r="140" spans="1:7" x14ac:dyDescent="0.3">
      <c r="A140" s="2">
        <v>69</v>
      </c>
      <c r="B140" s="2" t="s">
        <v>3</v>
      </c>
      <c r="C140" s="2">
        <v>2</v>
      </c>
      <c r="D140" s="2" t="str">
        <f t="shared" si="6"/>
        <v>SIM</v>
      </c>
      <c r="E140" s="2" t="str">
        <f t="shared" si="7"/>
        <v>SIM</v>
      </c>
      <c r="F140" s="2" t="str">
        <f>IF(COUNTIFS($A$2:A140,A140,$B$2:B140,B140)&lt;=2,"SIM","NÃO")</f>
        <v>NÃO</v>
      </c>
      <c r="G140" s="2" t="str">
        <f t="shared" si="8"/>
        <v>NÃO</v>
      </c>
    </row>
    <row r="141" spans="1:7" x14ac:dyDescent="0.3">
      <c r="A141" s="2">
        <v>70</v>
      </c>
      <c r="B141" s="2" t="s">
        <v>4</v>
      </c>
      <c r="C141" s="2">
        <v>5</v>
      </c>
      <c r="D141" s="2" t="str">
        <f t="shared" si="6"/>
        <v>SIM</v>
      </c>
      <c r="E141" s="2" t="str">
        <f t="shared" si="7"/>
        <v>SIM</v>
      </c>
      <c r="F141" s="2" t="str">
        <f>IF(COUNTIFS($A$2:A141,A141,$B$2:B141,B141)&lt;=2,"SIM","NÃO")</f>
        <v>NÃO</v>
      </c>
      <c r="G141" s="2" t="str">
        <f t="shared" si="8"/>
        <v>NÃO</v>
      </c>
    </row>
    <row r="142" spans="1:7" x14ac:dyDescent="0.3">
      <c r="A142" s="2">
        <v>71</v>
      </c>
      <c r="B142" s="2" t="s">
        <v>4</v>
      </c>
      <c r="C142" s="2">
        <v>5</v>
      </c>
      <c r="D142" s="2" t="str">
        <f t="shared" si="6"/>
        <v>SIM</v>
      </c>
      <c r="E142" s="2" t="str">
        <f t="shared" si="7"/>
        <v>SIM</v>
      </c>
      <c r="F142" s="2" t="str">
        <f>IF(COUNTIFS($A$2:A142,A142,$B$2:B142,B142)&lt;=2,"SIM","NÃO")</f>
        <v>SIM</v>
      </c>
      <c r="G142" s="2" t="str">
        <f t="shared" si="8"/>
        <v>SIM</v>
      </c>
    </row>
    <row r="143" spans="1:7" x14ac:dyDescent="0.3">
      <c r="A143" s="2">
        <v>72</v>
      </c>
      <c r="B143" s="2" t="s">
        <v>4</v>
      </c>
      <c r="C143" s="2">
        <v>5</v>
      </c>
      <c r="D143" s="2" t="str">
        <f t="shared" si="6"/>
        <v>SIM</v>
      </c>
      <c r="E143" s="2" t="str">
        <f t="shared" si="7"/>
        <v>SIM</v>
      </c>
      <c r="F143" s="2" t="str">
        <f>IF(COUNTIFS($A$2:A143,A143,$B$2:B143,B143)&lt;=2,"SIM","NÃO")</f>
        <v>NÃO</v>
      </c>
      <c r="G143" s="2" t="str">
        <f t="shared" si="8"/>
        <v>NÃO</v>
      </c>
    </row>
    <row r="144" spans="1:7" x14ac:dyDescent="0.3">
      <c r="A144" s="2">
        <v>52</v>
      </c>
      <c r="B144" s="2" t="s">
        <v>7</v>
      </c>
      <c r="C144" s="2">
        <v>4</v>
      </c>
      <c r="D144" s="2" t="str">
        <f t="shared" si="6"/>
        <v>SIM</v>
      </c>
      <c r="E144" s="2" t="str">
        <f t="shared" si="7"/>
        <v>NÃO</v>
      </c>
      <c r="F144" s="2" t="str">
        <f>IF(COUNTIFS($A$2:A144,A144,$B$2:B144,B144)&lt;=2,"SIM","NÃO")</f>
        <v>SIM</v>
      </c>
      <c r="G144" s="2" t="str">
        <f t="shared" si="8"/>
        <v>NÃO</v>
      </c>
    </row>
    <row r="145" spans="1:7" x14ac:dyDescent="0.3">
      <c r="A145" s="2">
        <v>53</v>
      </c>
      <c r="B145" s="2" t="s">
        <v>5</v>
      </c>
      <c r="C145" s="2">
        <v>3</v>
      </c>
      <c r="D145" s="2" t="str">
        <f t="shared" si="6"/>
        <v>SIM</v>
      </c>
      <c r="E145" s="2" t="str">
        <f t="shared" si="7"/>
        <v>SIM</v>
      </c>
      <c r="F145" s="2" t="str">
        <f>IF(COUNTIFS($A$2:A145,A145,$B$2:B145,B145)&lt;=2,"SIM","NÃO")</f>
        <v>SIM</v>
      </c>
      <c r="G145" s="2" t="str">
        <f t="shared" si="8"/>
        <v>SIM</v>
      </c>
    </row>
    <row r="146" spans="1:7" x14ac:dyDescent="0.3">
      <c r="A146" s="2">
        <v>54</v>
      </c>
      <c r="B146" s="2" t="s">
        <v>7</v>
      </c>
      <c r="C146" s="2">
        <v>3</v>
      </c>
      <c r="D146" s="2" t="str">
        <f t="shared" si="6"/>
        <v>SIM</v>
      </c>
      <c r="E146" s="2" t="str">
        <f t="shared" si="7"/>
        <v>NÃO</v>
      </c>
      <c r="F146" s="2" t="str">
        <f>IF(COUNTIFS($A$2:A146,A146,$B$2:B146,B146)&lt;=2,"SIM","NÃO")</f>
        <v>SIM</v>
      </c>
      <c r="G146" s="2" t="str">
        <f t="shared" si="8"/>
        <v>NÃO</v>
      </c>
    </row>
    <row r="147" spans="1:7" x14ac:dyDescent="0.3">
      <c r="A147" s="2">
        <v>55</v>
      </c>
      <c r="B147" s="2" t="s">
        <v>7</v>
      </c>
      <c r="C147" s="2"/>
      <c r="D147" s="2" t="str">
        <f t="shared" si="6"/>
        <v>NÃO</v>
      </c>
      <c r="E147" s="2" t="str">
        <f t="shared" si="7"/>
        <v>NÃO</v>
      </c>
      <c r="F147" s="2" t="str">
        <f>IF(COUNTIFS($A$2:A147,A147,$B$2:B147,B147)&lt;=2,"SIM","NÃO")</f>
        <v>SIM</v>
      </c>
      <c r="G147" s="2" t="str">
        <f t="shared" si="8"/>
        <v>NÃO</v>
      </c>
    </row>
    <row r="148" spans="1:7" x14ac:dyDescent="0.3">
      <c r="A148" s="2">
        <v>56</v>
      </c>
      <c r="B148" s="2" t="s">
        <v>5</v>
      </c>
      <c r="C148" s="2">
        <v>2</v>
      </c>
      <c r="D148" s="2" t="str">
        <f t="shared" si="6"/>
        <v>SIM</v>
      </c>
      <c r="E148" s="2" t="str">
        <f t="shared" si="7"/>
        <v>SIM</v>
      </c>
      <c r="F148" s="2" t="str">
        <f>IF(COUNTIFS($A$2:A148,A148,$B$2:B148,B148)&lt;=2,"SIM","NÃO")</f>
        <v>SIM</v>
      </c>
      <c r="G148" s="2" t="str">
        <f t="shared" si="8"/>
        <v>SIM</v>
      </c>
    </row>
    <row r="149" spans="1:7" x14ac:dyDescent="0.3">
      <c r="A149" s="2">
        <v>57</v>
      </c>
      <c r="B149" s="2" t="s">
        <v>7</v>
      </c>
      <c r="C149" s="2">
        <v>3</v>
      </c>
      <c r="D149" s="2" t="str">
        <f t="shared" si="6"/>
        <v>SIM</v>
      </c>
      <c r="E149" s="2" t="str">
        <f t="shared" si="7"/>
        <v>NÃO</v>
      </c>
      <c r="F149" s="2" t="str">
        <f>IF(COUNTIFS($A$2:A149,A149,$B$2:B149,B149)&lt;=2,"SIM","NÃO")</f>
        <v>SIM</v>
      </c>
      <c r="G149" s="2" t="str">
        <f t="shared" si="8"/>
        <v>NÃO</v>
      </c>
    </row>
    <row r="150" spans="1:7" x14ac:dyDescent="0.3">
      <c r="A150" s="2">
        <v>40</v>
      </c>
      <c r="B150" s="2" t="s">
        <v>5</v>
      </c>
      <c r="C150" s="2">
        <v>1</v>
      </c>
      <c r="D150" s="2" t="str">
        <f t="shared" si="6"/>
        <v>SIM</v>
      </c>
      <c r="E150" s="2" t="str">
        <f t="shared" si="7"/>
        <v>SIM</v>
      </c>
      <c r="F150" s="2" t="str">
        <f>IF(COUNTIFS($A$2:A150,A150,$B$2:B150,B150)&lt;=2,"SIM","NÃO")</f>
        <v>NÃO</v>
      </c>
      <c r="G150" s="2" t="str">
        <f t="shared" si="8"/>
        <v>NÃO</v>
      </c>
    </row>
    <row r="151" spans="1:7" x14ac:dyDescent="0.3">
      <c r="A151" s="2">
        <v>41</v>
      </c>
      <c r="B151" s="2" t="s">
        <v>5</v>
      </c>
      <c r="C151" s="2">
        <v>3</v>
      </c>
      <c r="D151" s="2" t="str">
        <f t="shared" si="6"/>
        <v>SIM</v>
      </c>
      <c r="E151" s="2" t="str">
        <f t="shared" si="7"/>
        <v>SIM</v>
      </c>
      <c r="F151" s="2" t="str">
        <f>IF(COUNTIFS($A$2:A151,A151,$B$2:B151,B151)&lt;=2,"SIM","NÃO")</f>
        <v>NÃO</v>
      </c>
      <c r="G151" s="2" t="str">
        <f t="shared" si="8"/>
        <v>NÃO</v>
      </c>
    </row>
    <row r="152" spans="1:7" x14ac:dyDescent="0.3">
      <c r="A152" s="2">
        <v>9</v>
      </c>
      <c r="B152" s="2" t="s">
        <v>5</v>
      </c>
      <c r="C152" s="2">
        <v>1</v>
      </c>
      <c r="D152" s="2" t="str">
        <f t="shared" si="6"/>
        <v>SIM</v>
      </c>
      <c r="E152" s="2" t="str">
        <f t="shared" si="7"/>
        <v>SIM</v>
      </c>
      <c r="F152" s="2" t="str">
        <f>IF(COUNTIFS($A$2:A152,A152,$B$2:B152,B152)&lt;=2,"SIM","NÃO")</f>
        <v>NÃO</v>
      </c>
      <c r="G152" s="2" t="str">
        <f t="shared" si="8"/>
        <v>NÃO</v>
      </c>
    </row>
    <row r="153" spans="1:7" x14ac:dyDescent="0.3">
      <c r="A153" s="2">
        <v>10</v>
      </c>
      <c r="B153" s="2" t="s">
        <v>5</v>
      </c>
      <c r="C153" s="2">
        <v>3</v>
      </c>
      <c r="D153" s="2" t="str">
        <f t="shared" si="6"/>
        <v>SIM</v>
      </c>
      <c r="E153" s="2" t="str">
        <f t="shared" si="7"/>
        <v>SIM</v>
      </c>
      <c r="F153" s="2" t="str">
        <f>IF(COUNTIFS($A$2:A153,A153,$B$2:B153,B153)&lt;=2,"SIM","NÃO")</f>
        <v>NÃO</v>
      </c>
      <c r="G153" s="2" t="str">
        <f t="shared" si="8"/>
        <v>NÃO</v>
      </c>
    </row>
    <row r="154" spans="1:7" x14ac:dyDescent="0.3">
      <c r="A154" s="3"/>
      <c r="B154" s="2" t="s">
        <v>8</v>
      </c>
      <c r="C154" s="2">
        <v>5</v>
      </c>
      <c r="D154" s="2" t="str">
        <f t="shared" si="6"/>
        <v>SIM</v>
      </c>
      <c r="E154" s="2" t="str">
        <f t="shared" si="7"/>
        <v>SIM</v>
      </c>
      <c r="F154" s="2" t="str">
        <f>IF(COUNTIFS($A$2:A154,A154,$B$2:B154,B154)&lt;=2,"SIM","NÃO")</f>
        <v>SIM</v>
      </c>
      <c r="G154" s="2" t="str">
        <f t="shared" si="8"/>
        <v>SIM</v>
      </c>
    </row>
    <row r="155" spans="1:7" x14ac:dyDescent="0.3">
      <c r="A155" s="2">
        <v>1</v>
      </c>
      <c r="B155" s="2" t="s">
        <v>3</v>
      </c>
      <c r="C155" s="2">
        <v>1</v>
      </c>
      <c r="D155" s="2" t="str">
        <f t="shared" si="6"/>
        <v>SIM</v>
      </c>
      <c r="E155" s="2" t="str">
        <f t="shared" si="7"/>
        <v>SIM</v>
      </c>
      <c r="F155" s="2" t="str">
        <f>IF(COUNTIFS($A$2:A155,A155,$B$2:B155,B155)&lt;=2,"SIM","NÃO")</f>
        <v>SIM</v>
      </c>
      <c r="G155" s="2" t="str">
        <f t="shared" si="8"/>
        <v>SIM</v>
      </c>
    </row>
    <row r="156" spans="1:7" x14ac:dyDescent="0.3">
      <c r="A156" s="2">
        <v>2</v>
      </c>
      <c r="B156" s="2" t="s">
        <v>3</v>
      </c>
      <c r="C156" s="2">
        <v>1</v>
      </c>
      <c r="D156" s="2" t="str">
        <f t="shared" si="6"/>
        <v>SIM</v>
      </c>
      <c r="E156" s="2" t="str">
        <f t="shared" si="7"/>
        <v>SIM</v>
      </c>
      <c r="F156" s="2" t="str">
        <f>IF(COUNTIFS($A$2:A156,A156,$B$2:B156,B156)&lt;=2,"SIM","NÃO")</f>
        <v>SIM</v>
      </c>
      <c r="G156" s="2" t="str">
        <f t="shared" si="8"/>
        <v>SIM</v>
      </c>
    </row>
    <row r="157" spans="1:7" x14ac:dyDescent="0.3">
      <c r="A157" s="2">
        <v>3</v>
      </c>
      <c r="B157" s="2" t="s">
        <v>3</v>
      </c>
      <c r="C157" s="2">
        <v>1</v>
      </c>
      <c r="D157" s="2" t="str">
        <f t="shared" si="6"/>
        <v>SIM</v>
      </c>
      <c r="E157" s="2" t="str">
        <f t="shared" si="7"/>
        <v>SIM</v>
      </c>
      <c r="F157" s="2" t="str">
        <f>IF(COUNTIFS($A$2:A157,A157,$B$2:B157,B157)&lt;=2,"SIM","NÃO")</f>
        <v>SIM</v>
      </c>
      <c r="G157" s="2" t="str">
        <f t="shared" si="8"/>
        <v>SIM</v>
      </c>
    </row>
    <row r="158" spans="1:7" x14ac:dyDescent="0.3">
      <c r="A158" s="2">
        <v>4</v>
      </c>
      <c r="B158" s="2" t="s">
        <v>3</v>
      </c>
      <c r="C158" s="2">
        <v>5</v>
      </c>
      <c r="D158" s="2" t="str">
        <f t="shared" si="6"/>
        <v>SIM</v>
      </c>
      <c r="E158" s="2" t="str">
        <f t="shared" si="7"/>
        <v>SIM</v>
      </c>
      <c r="F158" s="2" t="str">
        <f>IF(COUNTIFS($A$2:A158,A158,$B$2:B158,B158)&lt;=2,"SIM","NÃO")</f>
        <v>SIM</v>
      </c>
      <c r="G158" s="2" t="str">
        <f t="shared" si="8"/>
        <v>SIM</v>
      </c>
    </row>
    <row r="159" spans="1:7" x14ac:dyDescent="0.3">
      <c r="A159" s="2">
        <v>5</v>
      </c>
      <c r="B159" s="2" t="s">
        <v>4</v>
      </c>
      <c r="C159" s="2">
        <v>1</v>
      </c>
      <c r="D159" s="2" t="str">
        <f t="shared" si="6"/>
        <v>SIM</v>
      </c>
      <c r="E159" s="2" t="str">
        <f t="shared" si="7"/>
        <v>SIM</v>
      </c>
      <c r="F159" s="2" t="str">
        <f>IF(COUNTIFS($A$2:A159,A159,$B$2:B159,B159)&lt;=2,"SIM","NÃO")</f>
        <v>NÃO</v>
      </c>
      <c r="G159" s="2" t="str">
        <f t="shared" si="8"/>
        <v>NÃO</v>
      </c>
    </row>
    <row r="160" spans="1:7" x14ac:dyDescent="0.3">
      <c r="A160" s="2">
        <v>6</v>
      </c>
      <c r="B160" s="2" t="s">
        <v>4</v>
      </c>
      <c r="C160" s="2">
        <v>5</v>
      </c>
      <c r="D160" s="2" t="str">
        <f t="shared" si="6"/>
        <v>SIM</v>
      </c>
      <c r="E160" s="2" t="str">
        <f t="shared" si="7"/>
        <v>SIM</v>
      </c>
      <c r="F160" s="2" t="str">
        <f>IF(COUNTIFS($A$2:A160,A160,$B$2:B160,B160)&lt;=2,"SIM","NÃO")</f>
        <v>NÃO</v>
      </c>
      <c r="G160" s="2" t="str">
        <f t="shared" si="8"/>
        <v>NÃO</v>
      </c>
    </row>
    <row r="161" spans="1:7" x14ac:dyDescent="0.3">
      <c r="A161" s="2">
        <v>7</v>
      </c>
      <c r="B161" s="2" t="s">
        <v>4</v>
      </c>
      <c r="C161" s="2">
        <v>5</v>
      </c>
      <c r="D161" s="2" t="str">
        <f t="shared" si="6"/>
        <v>SIM</v>
      </c>
      <c r="E161" s="2" t="str">
        <f t="shared" si="7"/>
        <v>SIM</v>
      </c>
      <c r="F161" s="2" t="str">
        <f>IF(COUNTIFS($A$2:A161,A161,$B$2:B161,B161)&lt;=2,"SIM","NÃO")</f>
        <v>SIM</v>
      </c>
      <c r="G161" s="2" t="str">
        <f t="shared" si="8"/>
        <v>SIM</v>
      </c>
    </row>
    <row r="162" spans="1:7" x14ac:dyDescent="0.3">
      <c r="A162" s="2">
        <v>8</v>
      </c>
      <c r="B162" s="2" t="s">
        <v>4</v>
      </c>
      <c r="C162" s="2">
        <v>4</v>
      </c>
      <c r="D162" s="2" t="str">
        <f t="shared" si="6"/>
        <v>SIM</v>
      </c>
      <c r="E162" s="2" t="str">
        <f t="shared" si="7"/>
        <v>SIM</v>
      </c>
      <c r="F162" s="2" t="str">
        <f>IF(COUNTIFS($A$2:A162,A162,$B$2:B162,B162)&lt;=2,"SIM","NÃO")</f>
        <v>SIM</v>
      </c>
      <c r="G162" s="2" t="str">
        <f t="shared" si="8"/>
        <v>SIM</v>
      </c>
    </row>
    <row r="163" spans="1:7" x14ac:dyDescent="0.3">
      <c r="A163" s="2">
        <v>9</v>
      </c>
      <c r="B163" s="2" t="s">
        <v>5</v>
      </c>
      <c r="C163" s="2">
        <v>1</v>
      </c>
      <c r="D163" s="2" t="str">
        <f t="shared" si="6"/>
        <v>SIM</v>
      </c>
      <c r="E163" s="2" t="str">
        <f t="shared" si="7"/>
        <v>SIM</v>
      </c>
      <c r="F163" s="2" t="str">
        <f>IF(COUNTIFS($A$2:A163,A163,$B$2:B163,B163)&lt;=2,"SIM","NÃO")</f>
        <v>NÃO</v>
      </c>
      <c r="G163" s="2" t="str">
        <f t="shared" si="8"/>
        <v>NÃO</v>
      </c>
    </row>
    <row r="164" spans="1:7" x14ac:dyDescent="0.3">
      <c r="A164" s="2">
        <v>10</v>
      </c>
      <c r="B164" s="2" t="s">
        <v>5</v>
      </c>
      <c r="C164" s="2">
        <v>3</v>
      </c>
      <c r="D164" s="2" t="str">
        <f t="shared" si="6"/>
        <v>SIM</v>
      </c>
      <c r="E164" s="2" t="str">
        <f t="shared" si="7"/>
        <v>SIM</v>
      </c>
      <c r="F164" s="2" t="str">
        <f>IF(COUNTIFS($A$2:A164,A164,$B$2:B164,B164)&lt;=2,"SIM","NÃO")</f>
        <v>NÃO</v>
      </c>
      <c r="G164" s="2" t="str">
        <f t="shared" si="8"/>
        <v>NÃO</v>
      </c>
    </row>
    <row r="165" spans="1:7" x14ac:dyDescent="0.3">
      <c r="A165" s="2">
        <v>11</v>
      </c>
      <c r="B165" s="2" t="s">
        <v>3</v>
      </c>
      <c r="C165" s="2">
        <v>3</v>
      </c>
      <c r="D165" s="2" t="str">
        <f t="shared" si="6"/>
        <v>SIM</v>
      </c>
      <c r="E165" s="2" t="str">
        <f t="shared" si="7"/>
        <v>SIM</v>
      </c>
      <c r="F165" s="2" t="str">
        <f>IF(COUNTIFS($A$2:A165,A165,$B$2:B165,B165)&lt;=2,"SIM","NÃO")</f>
        <v>NÃO</v>
      </c>
      <c r="G165" s="2" t="str">
        <f t="shared" si="8"/>
        <v>NÃO</v>
      </c>
    </row>
    <row r="166" spans="1:7" x14ac:dyDescent="0.3">
      <c r="A166" s="2">
        <v>12</v>
      </c>
      <c r="B166" s="2" t="s">
        <v>3</v>
      </c>
      <c r="C166" s="2">
        <v>2</v>
      </c>
      <c r="D166" s="2" t="str">
        <f t="shared" si="6"/>
        <v>SIM</v>
      </c>
      <c r="E166" s="2" t="str">
        <f t="shared" si="7"/>
        <v>SIM</v>
      </c>
      <c r="F166" s="2" t="str">
        <f>IF(COUNTIFS($A$2:A166,A166,$B$2:B166,B166)&lt;=2,"SIM","NÃO")</f>
        <v>NÃO</v>
      </c>
      <c r="G166" s="2" t="str">
        <f t="shared" si="8"/>
        <v>NÃO</v>
      </c>
    </row>
    <row r="167" spans="1:7" x14ac:dyDescent="0.3">
      <c r="A167" s="2">
        <v>13</v>
      </c>
      <c r="B167" s="2" t="s">
        <v>4</v>
      </c>
      <c r="C167" s="2">
        <v>4</v>
      </c>
      <c r="D167" s="2" t="str">
        <f t="shared" si="6"/>
        <v>SIM</v>
      </c>
      <c r="E167" s="2" t="str">
        <f t="shared" si="7"/>
        <v>SIM</v>
      </c>
      <c r="F167" s="2" t="str">
        <f>IF(COUNTIFS($A$2:A167,A167,$B$2:B167,B167)&lt;=2,"SIM","NÃO")</f>
        <v>SIM</v>
      </c>
      <c r="G167" s="2" t="str">
        <f t="shared" si="8"/>
        <v>SIM</v>
      </c>
    </row>
    <row r="168" spans="1:7" x14ac:dyDescent="0.3">
      <c r="A168" s="2">
        <v>14</v>
      </c>
      <c r="B168" s="2" t="s">
        <v>4</v>
      </c>
      <c r="C168" s="2">
        <v>5</v>
      </c>
      <c r="D168" s="2" t="str">
        <f t="shared" si="6"/>
        <v>SIM</v>
      </c>
      <c r="E168" s="2" t="str">
        <f t="shared" si="7"/>
        <v>SIM</v>
      </c>
      <c r="F168" s="2" t="str">
        <f>IF(COUNTIFS($A$2:A168,A168,$B$2:B168,B168)&lt;=2,"SIM","NÃO")</f>
        <v>SIM</v>
      </c>
      <c r="G168" s="2" t="str">
        <f t="shared" si="8"/>
        <v>SIM</v>
      </c>
    </row>
    <row r="169" spans="1:7" x14ac:dyDescent="0.3">
      <c r="A169" s="2">
        <v>15</v>
      </c>
      <c r="B169" s="2" t="s">
        <v>5</v>
      </c>
      <c r="C169" s="2">
        <v>2</v>
      </c>
      <c r="D169" s="2" t="str">
        <f t="shared" si="6"/>
        <v>SIM</v>
      </c>
      <c r="E169" s="2" t="str">
        <f t="shared" si="7"/>
        <v>SIM</v>
      </c>
      <c r="F169" s="2" t="str">
        <f>IF(COUNTIFS($A$2:A169,A169,$B$2:B169,B169)&lt;=2,"SIM","NÃO")</f>
        <v>SIM</v>
      </c>
      <c r="G169" s="2" t="str">
        <f t="shared" si="8"/>
        <v>SIM</v>
      </c>
    </row>
    <row r="170" spans="1:7" x14ac:dyDescent="0.3">
      <c r="A170" s="2">
        <v>16</v>
      </c>
      <c r="B170" s="2" t="s">
        <v>5</v>
      </c>
      <c r="C170" s="2">
        <v>0</v>
      </c>
      <c r="D170" s="2" t="str">
        <f t="shared" si="6"/>
        <v>NÃO</v>
      </c>
      <c r="E170" s="2" t="str">
        <f t="shared" si="7"/>
        <v>SIM</v>
      </c>
      <c r="F170" s="2" t="str">
        <f>IF(COUNTIFS($A$2:A170,A170,$B$2:B170,B170)&lt;=2,"SIM","NÃO")</f>
        <v>SIM</v>
      </c>
      <c r="G170" s="2" t="str">
        <f t="shared" si="8"/>
        <v>NÃO</v>
      </c>
    </row>
    <row r="171" spans="1:7" x14ac:dyDescent="0.3">
      <c r="A171" s="2">
        <v>17</v>
      </c>
      <c r="B171" s="2" t="s">
        <v>5</v>
      </c>
      <c r="C171" s="2">
        <v>3</v>
      </c>
      <c r="D171" s="2" t="str">
        <f t="shared" si="6"/>
        <v>SIM</v>
      </c>
      <c r="E171" s="2" t="str">
        <f t="shared" si="7"/>
        <v>SIM</v>
      </c>
      <c r="F171" s="2" t="str">
        <f>IF(COUNTIFS($A$2:A171,A171,$B$2:B171,B171)&lt;=2,"SIM","NÃO")</f>
        <v>SIM</v>
      </c>
      <c r="G171" s="2" t="str">
        <f t="shared" si="8"/>
        <v>SIM</v>
      </c>
    </row>
    <row r="172" spans="1:7" x14ac:dyDescent="0.3">
      <c r="A172" s="2">
        <v>18</v>
      </c>
      <c r="B172" s="2" t="s">
        <v>5</v>
      </c>
      <c r="C172" s="2">
        <v>1</v>
      </c>
      <c r="D172" s="2" t="str">
        <f t="shared" si="6"/>
        <v>SIM</v>
      </c>
      <c r="E172" s="2" t="str">
        <f t="shared" si="7"/>
        <v>SIM</v>
      </c>
      <c r="F172" s="2" t="str">
        <f>IF(COUNTIFS($A$2:A172,A172,$B$2:B172,B172)&lt;=2,"SIM","NÃO")</f>
        <v>SIM</v>
      </c>
      <c r="G172" s="2" t="str">
        <f t="shared" si="8"/>
        <v>SIM</v>
      </c>
    </row>
    <row r="173" spans="1:7" x14ac:dyDescent="0.3">
      <c r="A173" s="2">
        <v>19</v>
      </c>
      <c r="B173" s="2" t="s">
        <v>5</v>
      </c>
      <c r="C173" s="2">
        <v>3</v>
      </c>
      <c r="D173" s="2" t="str">
        <f t="shared" si="6"/>
        <v>SIM</v>
      </c>
      <c r="E173" s="2" t="str">
        <f t="shared" si="7"/>
        <v>SIM</v>
      </c>
      <c r="F173" s="2" t="str">
        <f>IF(COUNTIFS($A$2:A173,A173,$B$2:B173,B173)&lt;=2,"SIM","NÃO")</f>
        <v>SIM</v>
      </c>
      <c r="G173" s="2" t="str">
        <f t="shared" si="8"/>
        <v>SIM</v>
      </c>
    </row>
    <row r="174" spans="1:7" x14ac:dyDescent="0.3">
      <c r="A174" s="2">
        <v>20</v>
      </c>
      <c r="B174" s="2" t="s">
        <v>5</v>
      </c>
      <c r="C174" s="2">
        <v>3</v>
      </c>
      <c r="D174" s="2" t="str">
        <f t="shared" si="6"/>
        <v>SIM</v>
      </c>
      <c r="E174" s="2" t="str">
        <f t="shared" si="7"/>
        <v>SIM</v>
      </c>
      <c r="F174" s="2" t="str">
        <f>IF(COUNTIFS($A$2:A174,A174,$B$2:B174,B174)&lt;=2,"SIM","NÃO")</f>
        <v>SIM</v>
      </c>
      <c r="G174" s="2" t="str">
        <f t="shared" si="8"/>
        <v>SIM</v>
      </c>
    </row>
    <row r="175" spans="1:7" x14ac:dyDescent="0.3">
      <c r="A175" s="2">
        <v>21</v>
      </c>
      <c r="B175" s="2" t="s">
        <v>5</v>
      </c>
      <c r="C175" s="2">
        <v>4</v>
      </c>
      <c r="D175" s="2" t="str">
        <f t="shared" si="6"/>
        <v>SIM</v>
      </c>
      <c r="E175" s="2" t="str">
        <f t="shared" si="7"/>
        <v>SIM</v>
      </c>
      <c r="F175" s="2" t="str">
        <f>IF(COUNTIFS($A$2:A175,A175,$B$2:B175,B175)&lt;=2,"SIM","NÃO")</f>
        <v>SIM</v>
      </c>
      <c r="G175" s="2" t="str">
        <f t="shared" si="8"/>
        <v>SIM</v>
      </c>
    </row>
    <row r="176" spans="1:7" x14ac:dyDescent="0.3">
      <c r="A176" s="2">
        <v>22</v>
      </c>
      <c r="B176" s="2" t="s">
        <v>5</v>
      </c>
      <c r="C176" s="2">
        <v>3</v>
      </c>
      <c r="D176" s="2" t="str">
        <f t="shared" si="6"/>
        <v>SIM</v>
      </c>
      <c r="E176" s="2" t="str">
        <f t="shared" si="7"/>
        <v>SIM</v>
      </c>
      <c r="F176" s="2" t="str">
        <f>IF(COUNTIFS($A$2:A176,A176,$B$2:B176,B176)&lt;=2,"SIM","NÃO")</f>
        <v>SIM</v>
      </c>
      <c r="G176" s="2" t="str">
        <f t="shared" si="8"/>
        <v>SIM</v>
      </c>
    </row>
    <row r="177" spans="1:7" x14ac:dyDescent="0.3">
      <c r="A177" s="2">
        <v>23</v>
      </c>
      <c r="B177" s="2" t="s">
        <v>3</v>
      </c>
      <c r="C177" s="2">
        <v>1</v>
      </c>
      <c r="D177" s="2" t="str">
        <f t="shared" si="6"/>
        <v>SIM</v>
      </c>
      <c r="E177" s="2" t="str">
        <f t="shared" si="7"/>
        <v>SIM</v>
      </c>
      <c r="F177" s="2" t="str">
        <f>IF(COUNTIFS($A$2:A177,A177,$B$2:B177,B177)&lt;=2,"SIM","NÃO")</f>
        <v>SIM</v>
      </c>
      <c r="G177" s="2" t="str">
        <f t="shared" si="8"/>
        <v>SIM</v>
      </c>
    </row>
    <row r="178" spans="1:7" x14ac:dyDescent="0.3">
      <c r="A178" s="2">
        <v>24</v>
      </c>
      <c r="B178" s="3" t="s">
        <v>3</v>
      </c>
      <c r="C178" s="2">
        <v>1</v>
      </c>
      <c r="D178" s="2" t="str">
        <f t="shared" si="6"/>
        <v>SIM</v>
      </c>
      <c r="E178" s="2" t="str">
        <f t="shared" si="7"/>
        <v>SIM</v>
      </c>
      <c r="F178" s="2" t="str">
        <f>IF(COUNTIFS($A$2:A178,A178,$B$2:B178,B178)&lt;=2,"SIM","NÃO")</f>
        <v>NÃO</v>
      </c>
      <c r="G178" s="2" t="str">
        <f t="shared" si="8"/>
        <v>NÃO</v>
      </c>
    </row>
    <row r="179" spans="1:7" x14ac:dyDescent="0.3">
      <c r="A179" s="2">
        <v>25</v>
      </c>
      <c r="B179" s="2" t="s">
        <v>4</v>
      </c>
      <c r="C179" s="2">
        <v>5</v>
      </c>
      <c r="D179" s="2" t="str">
        <f t="shared" si="6"/>
        <v>SIM</v>
      </c>
      <c r="E179" s="2" t="str">
        <f t="shared" si="7"/>
        <v>SIM</v>
      </c>
      <c r="F179" s="2" t="str">
        <f>IF(COUNTIFS($A$2:A179,A179,$B$2:B179,B179)&lt;=2,"SIM","NÃO")</f>
        <v>SIM</v>
      </c>
      <c r="G179" s="2" t="str">
        <f t="shared" si="8"/>
        <v>SIM</v>
      </c>
    </row>
    <row r="180" spans="1:7" x14ac:dyDescent="0.3">
      <c r="A180" s="2">
        <v>26</v>
      </c>
      <c r="B180" s="2" t="s">
        <v>6</v>
      </c>
      <c r="C180" s="2">
        <v>1</v>
      </c>
      <c r="D180" s="2" t="str">
        <f t="shared" si="6"/>
        <v>SIM</v>
      </c>
      <c r="E180" s="2" t="str">
        <f t="shared" si="7"/>
        <v>NÃO</v>
      </c>
      <c r="F180" s="2" t="str">
        <f>IF(COUNTIFS($A$2:A180,A180,$B$2:B180,B180)&lt;=2,"SIM","NÃO")</f>
        <v>SIM</v>
      </c>
      <c r="G180" s="2" t="str">
        <f t="shared" si="8"/>
        <v>NÃO</v>
      </c>
    </row>
    <row r="181" spans="1:7" x14ac:dyDescent="0.3">
      <c r="A181" s="2">
        <v>27</v>
      </c>
      <c r="B181" s="2" t="s">
        <v>4</v>
      </c>
      <c r="C181" s="2">
        <v>5</v>
      </c>
      <c r="D181" s="2" t="str">
        <f t="shared" si="6"/>
        <v>SIM</v>
      </c>
      <c r="E181" s="2" t="str">
        <f t="shared" si="7"/>
        <v>SIM</v>
      </c>
      <c r="F181" s="2" t="str">
        <f>IF(COUNTIFS($A$2:A181,A181,$B$2:B181,B181)&lt;=2,"SIM","NÃO")</f>
        <v>SIM</v>
      </c>
      <c r="G181" s="2" t="str">
        <f t="shared" si="8"/>
        <v>SIM</v>
      </c>
    </row>
    <row r="182" spans="1:7" x14ac:dyDescent="0.3">
      <c r="A182" s="2">
        <v>28</v>
      </c>
      <c r="B182" s="2" t="s">
        <v>4</v>
      </c>
      <c r="C182" s="2">
        <v>5</v>
      </c>
      <c r="D182" s="2" t="str">
        <f t="shared" si="6"/>
        <v>SIM</v>
      </c>
      <c r="E182" s="2" t="str">
        <f t="shared" si="7"/>
        <v>SIM</v>
      </c>
      <c r="F182" s="2" t="str">
        <f>IF(COUNTIFS($A$2:A182,A182,$B$2:B182,B182)&lt;=2,"SIM","NÃO")</f>
        <v>SIM</v>
      </c>
      <c r="G182" s="2" t="str">
        <f t="shared" si="8"/>
        <v>SIM</v>
      </c>
    </row>
    <row r="183" spans="1:7" x14ac:dyDescent="0.3">
      <c r="A183" s="2">
        <v>29</v>
      </c>
      <c r="B183" s="2" t="s">
        <v>4</v>
      </c>
      <c r="C183" s="2">
        <v>5</v>
      </c>
      <c r="D183" s="2" t="str">
        <f t="shared" si="6"/>
        <v>SIM</v>
      </c>
      <c r="E183" s="2" t="str">
        <f t="shared" si="7"/>
        <v>SIM</v>
      </c>
      <c r="F183" s="2" t="str">
        <f>IF(COUNTIFS($A$2:A183,A183,$B$2:B183,B183)&lt;=2,"SIM","NÃO")</f>
        <v>NÃO</v>
      </c>
      <c r="G183" s="2" t="str">
        <f t="shared" si="8"/>
        <v>NÃO</v>
      </c>
    </row>
    <row r="184" spans="1:7" x14ac:dyDescent="0.3">
      <c r="A184" s="2">
        <v>30</v>
      </c>
      <c r="B184" s="2" t="s">
        <v>5</v>
      </c>
      <c r="C184" s="2">
        <v>1</v>
      </c>
      <c r="D184" s="2" t="str">
        <f t="shared" si="6"/>
        <v>SIM</v>
      </c>
      <c r="E184" s="2" t="str">
        <f t="shared" si="7"/>
        <v>SIM</v>
      </c>
      <c r="F184" s="2" t="str">
        <f>IF(COUNTIFS($A$2:A184,A184,$B$2:B184,B184)&lt;=2,"SIM","NÃO")</f>
        <v>NÃO</v>
      </c>
      <c r="G184" s="2" t="str">
        <f t="shared" si="8"/>
        <v>NÃO</v>
      </c>
    </row>
    <row r="185" spans="1:7" x14ac:dyDescent="0.3">
      <c r="A185" s="2">
        <v>31</v>
      </c>
      <c r="B185" s="2" t="s">
        <v>5</v>
      </c>
      <c r="C185" s="2">
        <v>4</v>
      </c>
      <c r="D185" s="2" t="str">
        <f t="shared" si="6"/>
        <v>SIM</v>
      </c>
      <c r="E185" s="2" t="str">
        <f t="shared" si="7"/>
        <v>SIM</v>
      </c>
      <c r="F185" s="2" t="str">
        <f>IF(COUNTIFS($A$2:A185,A185,$B$2:B185,B185)&lt;=2,"SIM","NÃO")</f>
        <v>NÃO</v>
      </c>
      <c r="G185" s="2" t="str">
        <f t="shared" si="8"/>
        <v>NÃO</v>
      </c>
    </row>
    <row r="186" spans="1:7" x14ac:dyDescent="0.3">
      <c r="A186" s="2">
        <v>32</v>
      </c>
      <c r="B186" s="2" t="s">
        <v>5</v>
      </c>
      <c r="C186" s="2">
        <v>2</v>
      </c>
      <c r="D186" s="2" t="str">
        <f t="shared" si="6"/>
        <v>SIM</v>
      </c>
      <c r="E186" s="2" t="str">
        <f t="shared" si="7"/>
        <v>SIM</v>
      </c>
      <c r="F186" s="2" t="str">
        <f>IF(COUNTIFS($A$2:A186,A186,$B$2:B186,B186)&lt;=2,"SIM","NÃO")</f>
        <v>NÃO</v>
      </c>
      <c r="G186" s="2" t="str">
        <f t="shared" si="8"/>
        <v>NÃO</v>
      </c>
    </row>
    <row r="187" spans="1:7" x14ac:dyDescent="0.3">
      <c r="A187" s="2">
        <v>33</v>
      </c>
      <c r="B187" s="2" t="s">
        <v>5</v>
      </c>
      <c r="C187" s="3">
        <v>4</v>
      </c>
      <c r="D187" s="2" t="str">
        <f t="shared" si="6"/>
        <v>SIM</v>
      </c>
      <c r="E187" s="2" t="str">
        <f t="shared" si="7"/>
        <v>SIM</v>
      </c>
      <c r="F187" s="2" t="str">
        <f>IF(COUNTIFS($A$2:A187,A187,$B$2:B187,B187)&lt;=2,"SIM","NÃO")</f>
        <v>NÃO</v>
      </c>
      <c r="G187" s="2" t="str">
        <f t="shared" si="8"/>
        <v>NÃO</v>
      </c>
    </row>
    <row r="188" spans="1:7" x14ac:dyDescent="0.3">
      <c r="A188" s="2">
        <v>34</v>
      </c>
      <c r="B188" s="2" t="s">
        <v>5</v>
      </c>
      <c r="C188" s="2">
        <v>5</v>
      </c>
      <c r="D188" s="2" t="str">
        <f t="shared" si="6"/>
        <v>SIM</v>
      </c>
      <c r="E188" s="2" t="str">
        <f t="shared" si="7"/>
        <v>SIM</v>
      </c>
      <c r="F188" s="2" t="str">
        <f>IF(COUNTIFS($A$2:A188,A188,$B$2:B188,B188)&lt;=2,"SIM","NÃO")</f>
        <v>SIM</v>
      </c>
      <c r="G188" s="2" t="str">
        <f t="shared" si="8"/>
        <v>SIM</v>
      </c>
    </row>
    <row r="189" spans="1:7" x14ac:dyDescent="0.3">
      <c r="A189" s="2">
        <v>35</v>
      </c>
      <c r="B189" s="2" t="s">
        <v>5</v>
      </c>
      <c r="C189" s="2">
        <v>5</v>
      </c>
      <c r="D189" s="2" t="str">
        <f t="shared" si="6"/>
        <v>SIM</v>
      </c>
      <c r="E189" s="2" t="str">
        <f t="shared" si="7"/>
        <v>SIM</v>
      </c>
      <c r="F189" s="2" t="str">
        <f>IF(COUNTIFS($A$2:A189,A189,$B$2:B189,B189)&lt;=2,"SIM","NÃO")</f>
        <v>SIM</v>
      </c>
      <c r="G189" s="2" t="str">
        <f t="shared" si="8"/>
        <v>SIM</v>
      </c>
    </row>
    <row r="190" spans="1:7" x14ac:dyDescent="0.3">
      <c r="A190" s="2">
        <v>36</v>
      </c>
      <c r="B190" s="2" t="s">
        <v>5</v>
      </c>
      <c r="C190" s="2">
        <v>2</v>
      </c>
      <c r="D190" s="2" t="str">
        <f t="shared" si="6"/>
        <v>SIM</v>
      </c>
      <c r="E190" s="2" t="str">
        <f t="shared" si="7"/>
        <v>SIM</v>
      </c>
      <c r="F190" s="2" t="str">
        <f>IF(COUNTIFS($A$2:A190,A190,$B$2:B190,B190)&lt;=2,"SIM","NÃO")</f>
        <v>SIM</v>
      </c>
      <c r="G190" s="2" t="str">
        <f t="shared" si="8"/>
        <v>SIM</v>
      </c>
    </row>
    <row r="191" spans="1:7" x14ac:dyDescent="0.3">
      <c r="A191" s="2">
        <v>37</v>
      </c>
      <c r="B191" s="2" t="s">
        <v>5</v>
      </c>
      <c r="C191" s="2">
        <v>1</v>
      </c>
      <c r="D191" s="2" t="str">
        <f t="shared" si="6"/>
        <v>SIM</v>
      </c>
      <c r="E191" s="2" t="str">
        <f t="shared" si="7"/>
        <v>SIM</v>
      </c>
      <c r="F191" s="2" t="str">
        <f>IF(COUNTIFS($A$2:A191,A191,$B$2:B191,B191)&lt;=2,"SIM","NÃO")</f>
        <v>SIM</v>
      </c>
      <c r="G191" s="2" t="str">
        <f t="shared" si="8"/>
        <v>SIM</v>
      </c>
    </row>
    <row r="192" spans="1:7" x14ac:dyDescent="0.3">
      <c r="A192" s="2">
        <v>38</v>
      </c>
      <c r="B192" s="2" t="s">
        <v>5</v>
      </c>
      <c r="C192" s="2">
        <v>6</v>
      </c>
      <c r="D192" s="2" t="str">
        <f t="shared" si="6"/>
        <v>NÃO</v>
      </c>
      <c r="E192" s="2" t="str">
        <f t="shared" si="7"/>
        <v>SIM</v>
      </c>
      <c r="F192" s="2" t="str">
        <f>IF(COUNTIFS($A$2:A192,A192,$B$2:B192,B192)&lt;=2,"SIM","NÃO")</f>
        <v>SIM</v>
      </c>
      <c r="G192" s="2" t="str">
        <f t="shared" si="8"/>
        <v>NÃO</v>
      </c>
    </row>
    <row r="193" spans="1:7" x14ac:dyDescent="0.3">
      <c r="A193" s="2">
        <v>39</v>
      </c>
      <c r="B193" s="2" t="s">
        <v>5</v>
      </c>
      <c r="C193" s="2">
        <v>4</v>
      </c>
      <c r="D193" s="2" t="str">
        <f t="shared" si="6"/>
        <v>SIM</v>
      </c>
      <c r="E193" s="2" t="str">
        <f t="shared" si="7"/>
        <v>SIM</v>
      </c>
      <c r="F193" s="2" t="str">
        <f>IF(COUNTIFS($A$2:A193,A193,$B$2:B193,B193)&lt;=2,"SIM","NÃO")</f>
        <v>NÃO</v>
      </c>
      <c r="G193" s="2" t="str">
        <f t="shared" si="8"/>
        <v>NÃO</v>
      </c>
    </row>
    <row r="194" spans="1:7" x14ac:dyDescent="0.3">
      <c r="A194" s="2">
        <v>40</v>
      </c>
      <c r="B194" s="2" t="s">
        <v>5</v>
      </c>
      <c r="C194" s="2">
        <v>1</v>
      </c>
      <c r="D194" s="2" t="str">
        <f t="shared" si="6"/>
        <v>SIM</v>
      </c>
      <c r="E194" s="2" t="str">
        <f t="shared" si="7"/>
        <v>SIM</v>
      </c>
      <c r="F194" s="2" t="str">
        <f>IF(COUNTIFS($A$2:A194,A194,$B$2:B194,B194)&lt;=2,"SIM","NÃO")</f>
        <v>NÃO</v>
      </c>
      <c r="G194" s="2" t="str">
        <f t="shared" si="8"/>
        <v>NÃO</v>
      </c>
    </row>
    <row r="195" spans="1:7" x14ac:dyDescent="0.3">
      <c r="A195" s="2">
        <v>41</v>
      </c>
      <c r="B195" s="2" t="s">
        <v>5</v>
      </c>
      <c r="C195" s="2">
        <v>3</v>
      </c>
      <c r="D195" s="2" t="str">
        <f t="shared" ref="D195:D234" si="9">IF(AND(C195&gt;0,C195&lt;=5),"SIM","NÃO")</f>
        <v>SIM</v>
      </c>
      <c r="E195" s="2" t="str">
        <f t="shared" ref="E195:E234" si="10">IF(OR(B195="A",B195="B",B195="C",B195="E"),"SIM","NÃO")</f>
        <v>SIM</v>
      </c>
      <c r="F195" s="2" t="str">
        <f>IF(COUNTIFS($A$2:A195,A195,$B$2:B195,B195)&lt;=2,"SIM","NÃO")</f>
        <v>NÃO</v>
      </c>
      <c r="G195" s="2" t="str">
        <f t="shared" ref="G195:G234" si="11">IF(AND(D195="SIM",E195="SIM",F195="SIM"),"SIM","NÃO")</f>
        <v>NÃO</v>
      </c>
    </row>
    <row r="196" spans="1:7" x14ac:dyDescent="0.3">
      <c r="A196" s="2">
        <v>42</v>
      </c>
      <c r="B196" s="2" t="s">
        <v>3</v>
      </c>
      <c r="C196" s="2">
        <v>1</v>
      </c>
      <c r="D196" s="2" t="str">
        <f t="shared" si="9"/>
        <v>SIM</v>
      </c>
      <c r="E196" s="2" t="str">
        <f t="shared" si="10"/>
        <v>SIM</v>
      </c>
      <c r="F196" s="2" t="str">
        <f>IF(COUNTIFS($A$2:A196,A196,$B$2:B196,B196)&lt;=2,"SIM","NÃO")</f>
        <v>SIM</v>
      </c>
      <c r="G196" s="2" t="str">
        <f t="shared" si="11"/>
        <v>SIM</v>
      </c>
    </row>
    <row r="197" spans="1:7" x14ac:dyDescent="0.3">
      <c r="A197" s="2">
        <v>43</v>
      </c>
      <c r="B197" s="2" t="s">
        <v>3</v>
      </c>
      <c r="C197" s="2">
        <v>1</v>
      </c>
      <c r="D197" s="2" t="str">
        <f t="shared" si="9"/>
        <v>SIM</v>
      </c>
      <c r="E197" s="2" t="str">
        <f t="shared" si="10"/>
        <v>SIM</v>
      </c>
      <c r="F197" s="2" t="str">
        <f>IF(COUNTIFS($A$2:A197,A197,$B$2:B197,B197)&lt;=2,"SIM","NÃO")</f>
        <v>SIM</v>
      </c>
      <c r="G197" s="2" t="str">
        <f t="shared" si="11"/>
        <v>SIM</v>
      </c>
    </row>
    <row r="198" spans="1:7" x14ac:dyDescent="0.3">
      <c r="A198" s="2">
        <v>44</v>
      </c>
      <c r="B198" s="2" t="s">
        <v>3</v>
      </c>
      <c r="C198" s="2">
        <v>3</v>
      </c>
      <c r="D198" s="2" t="str">
        <f t="shared" si="9"/>
        <v>SIM</v>
      </c>
      <c r="E198" s="2" t="str">
        <f t="shared" si="10"/>
        <v>SIM</v>
      </c>
      <c r="F198" s="2" t="str">
        <f>IF(COUNTIFS($A$2:A198,A198,$B$2:B198,B198)&lt;=2,"SIM","NÃO")</f>
        <v>SIM</v>
      </c>
      <c r="G198" s="2" t="str">
        <f t="shared" si="11"/>
        <v>SIM</v>
      </c>
    </row>
    <row r="199" spans="1:7" x14ac:dyDescent="0.3">
      <c r="A199" s="2">
        <v>45</v>
      </c>
      <c r="B199" s="2" t="s">
        <v>3</v>
      </c>
      <c r="C199" s="2">
        <v>1</v>
      </c>
      <c r="D199" s="2" t="str">
        <f t="shared" si="9"/>
        <v>SIM</v>
      </c>
      <c r="E199" s="2" t="str">
        <f t="shared" si="10"/>
        <v>SIM</v>
      </c>
      <c r="F199" s="2" t="str">
        <f>IF(COUNTIFS($A$2:A199,A199,$B$2:B199,B199)&lt;=2,"SIM","NÃO")</f>
        <v>SIM</v>
      </c>
      <c r="G199" s="2" t="str">
        <f t="shared" si="11"/>
        <v>SIM</v>
      </c>
    </row>
    <row r="200" spans="1:7" x14ac:dyDescent="0.3">
      <c r="A200" s="2">
        <v>46</v>
      </c>
      <c r="B200" s="2" t="s">
        <v>3</v>
      </c>
      <c r="C200" s="2">
        <v>1</v>
      </c>
      <c r="D200" s="2" t="str">
        <f t="shared" si="9"/>
        <v>SIM</v>
      </c>
      <c r="E200" s="2" t="str">
        <f t="shared" si="10"/>
        <v>SIM</v>
      </c>
      <c r="F200" s="2" t="str">
        <f>IF(COUNTIFS($A$2:A200,A200,$B$2:B200,B200)&lt;=2,"SIM","NÃO")</f>
        <v>SIM</v>
      </c>
      <c r="G200" s="2" t="str">
        <f t="shared" si="11"/>
        <v>SIM</v>
      </c>
    </row>
    <row r="201" spans="1:7" x14ac:dyDescent="0.3">
      <c r="A201" s="2">
        <v>47</v>
      </c>
      <c r="B201" s="2" t="s">
        <v>3</v>
      </c>
      <c r="C201" s="2">
        <v>1</v>
      </c>
      <c r="D201" s="2" t="str">
        <f t="shared" si="9"/>
        <v>SIM</v>
      </c>
      <c r="E201" s="2" t="str">
        <f t="shared" si="10"/>
        <v>SIM</v>
      </c>
      <c r="F201" s="2" t="str">
        <f>IF(COUNTIFS($A$2:A201,A201,$B$2:B201,B201)&lt;=2,"SIM","NÃO")</f>
        <v>SIM</v>
      </c>
      <c r="G201" s="2" t="str">
        <f t="shared" si="11"/>
        <v>SIM</v>
      </c>
    </row>
    <row r="202" spans="1:7" x14ac:dyDescent="0.3">
      <c r="A202" s="2">
        <v>10</v>
      </c>
      <c r="B202" s="2" t="s">
        <v>5</v>
      </c>
      <c r="C202" s="2">
        <v>3</v>
      </c>
      <c r="D202" s="2" t="str">
        <f t="shared" si="9"/>
        <v>SIM</v>
      </c>
      <c r="E202" s="2" t="str">
        <f t="shared" si="10"/>
        <v>SIM</v>
      </c>
      <c r="F202" s="2" t="str">
        <f>IF(COUNTIFS($A$2:A202,A202,$B$2:B202,B202)&lt;=2,"SIM","NÃO")</f>
        <v>NÃO</v>
      </c>
      <c r="G202" s="2" t="str">
        <f t="shared" si="11"/>
        <v>NÃO</v>
      </c>
    </row>
    <row r="203" spans="1:7" x14ac:dyDescent="0.3">
      <c r="A203" s="2">
        <v>11</v>
      </c>
      <c r="B203" s="2" t="s">
        <v>3</v>
      </c>
      <c r="C203" s="2">
        <v>3</v>
      </c>
      <c r="D203" s="2" t="str">
        <f t="shared" si="9"/>
        <v>SIM</v>
      </c>
      <c r="E203" s="2" t="str">
        <f t="shared" si="10"/>
        <v>SIM</v>
      </c>
      <c r="F203" s="2" t="str">
        <f>IF(COUNTIFS($A$2:A203,A203,$B$2:B203,B203)&lt;=2,"SIM","NÃO")</f>
        <v>NÃO</v>
      </c>
      <c r="G203" s="2" t="str">
        <f t="shared" si="11"/>
        <v>NÃO</v>
      </c>
    </row>
    <row r="204" spans="1:7" x14ac:dyDescent="0.3">
      <c r="A204" s="2">
        <v>12</v>
      </c>
      <c r="B204" s="2" t="s">
        <v>3</v>
      </c>
      <c r="C204" s="2">
        <v>2</v>
      </c>
      <c r="D204" s="2" t="str">
        <f t="shared" si="9"/>
        <v>SIM</v>
      </c>
      <c r="E204" s="2" t="str">
        <f t="shared" si="10"/>
        <v>SIM</v>
      </c>
      <c r="F204" s="2" t="str">
        <f>IF(COUNTIFS($A$2:A204,A204,$B$2:B204,B204)&lt;=2,"SIM","NÃO")</f>
        <v>NÃO</v>
      </c>
      <c r="G204" s="2" t="str">
        <f t="shared" si="11"/>
        <v>NÃO</v>
      </c>
    </row>
    <row r="205" spans="1:7" x14ac:dyDescent="0.3">
      <c r="A205" s="2">
        <v>13</v>
      </c>
      <c r="B205" s="2" t="s">
        <v>4</v>
      </c>
      <c r="C205" s="2">
        <v>4</v>
      </c>
      <c r="D205" s="2" t="str">
        <f t="shared" si="9"/>
        <v>SIM</v>
      </c>
      <c r="E205" s="2" t="str">
        <f t="shared" si="10"/>
        <v>SIM</v>
      </c>
      <c r="F205" s="2" t="str">
        <f>IF(COUNTIFS($A$2:A205,A205,$B$2:B205,B205)&lt;=2,"SIM","NÃO")</f>
        <v>NÃO</v>
      </c>
      <c r="G205" s="2" t="str">
        <f t="shared" si="11"/>
        <v>NÃO</v>
      </c>
    </row>
    <row r="206" spans="1:7" x14ac:dyDescent="0.3">
      <c r="A206" s="2">
        <v>14</v>
      </c>
      <c r="B206" s="2" t="s">
        <v>4</v>
      </c>
      <c r="C206" s="2">
        <v>5</v>
      </c>
      <c r="D206" s="2" t="str">
        <f t="shared" si="9"/>
        <v>SIM</v>
      </c>
      <c r="E206" s="2" t="str">
        <f t="shared" si="10"/>
        <v>SIM</v>
      </c>
      <c r="F206" s="2" t="str">
        <f>IF(COUNTIFS($A$2:A206,A206,$B$2:B206,B206)&lt;=2,"SIM","NÃO")</f>
        <v>NÃO</v>
      </c>
      <c r="G206" s="2" t="str">
        <f t="shared" si="11"/>
        <v>NÃO</v>
      </c>
    </row>
    <row r="207" spans="1:7" x14ac:dyDescent="0.3">
      <c r="A207" s="2">
        <v>15</v>
      </c>
      <c r="B207" s="2" t="s">
        <v>5</v>
      </c>
      <c r="C207" s="2">
        <v>2</v>
      </c>
      <c r="D207" s="2" t="str">
        <f t="shared" si="9"/>
        <v>SIM</v>
      </c>
      <c r="E207" s="2" t="str">
        <f t="shared" si="10"/>
        <v>SIM</v>
      </c>
      <c r="F207" s="2" t="str">
        <f>IF(COUNTIFS($A$2:A207,A207,$B$2:B207,B207)&lt;=2,"SIM","NÃO")</f>
        <v>NÃO</v>
      </c>
      <c r="G207" s="2" t="str">
        <f t="shared" si="11"/>
        <v>NÃO</v>
      </c>
    </row>
    <row r="208" spans="1:7" x14ac:dyDescent="0.3">
      <c r="A208" s="2">
        <v>16</v>
      </c>
      <c r="B208" s="2" t="s">
        <v>5</v>
      </c>
      <c r="C208" s="2">
        <v>0</v>
      </c>
      <c r="D208" s="2" t="str">
        <f t="shared" si="9"/>
        <v>NÃO</v>
      </c>
      <c r="E208" s="2" t="str">
        <f t="shared" si="10"/>
        <v>SIM</v>
      </c>
      <c r="F208" s="2" t="str">
        <f>IF(COUNTIFS($A$2:A208,A208,$B$2:B208,B208)&lt;=2,"SIM","NÃO")</f>
        <v>NÃO</v>
      </c>
      <c r="G208" s="2" t="str">
        <f t="shared" si="11"/>
        <v>NÃO</v>
      </c>
    </row>
    <row r="209" spans="1:7" x14ac:dyDescent="0.3">
      <c r="A209" s="2">
        <v>17</v>
      </c>
      <c r="B209" s="2" t="s">
        <v>5</v>
      </c>
      <c r="C209" s="2">
        <v>3</v>
      </c>
      <c r="D209" s="2" t="str">
        <f t="shared" si="9"/>
        <v>SIM</v>
      </c>
      <c r="E209" s="2" t="str">
        <f t="shared" si="10"/>
        <v>SIM</v>
      </c>
      <c r="F209" s="2" t="str">
        <f>IF(COUNTIFS($A$2:A209,A209,$B$2:B209,B209)&lt;=2,"SIM","NÃO")</f>
        <v>NÃO</v>
      </c>
      <c r="G209" s="2" t="str">
        <f t="shared" si="11"/>
        <v>NÃO</v>
      </c>
    </row>
    <row r="210" spans="1:7" x14ac:dyDescent="0.3">
      <c r="A210" s="2">
        <v>18</v>
      </c>
      <c r="B210" s="2" t="s">
        <v>5</v>
      </c>
      <c r="C210" s="2">
        <v>1</v>
      </c>
      <c r="D210" s="2" t="str">
        <f t="shared" si="9"/>
        <v>SIM</v>
      </c>
      <c r="E210" s="2" t="str">
        <f t="shared" si="10"/>
        <v>SIM</v>
      </c>
      <c r="F210" s="2" t="str">
        <f>IF(COUNTIFS($A$2:A210,A210,$B$2:B210,B210)&lt;=2,"SIM","NÃO")</f>
        <v>NÃO</v>
      </c>
      <c r="G210" s="2" t="str">
        <f t="shared" si="11"/>
        <v>NÃO</v>
      </c>
    </row>
    <row r="211" spans="1:7" x14ac:dyDescent="0.3">
      <c r="A211" s="2">
        <v>19</v>
      </c>
      <c r="B211" s="2" t="s">
        <v>5</v>
      </c>
      <c r="C211" s="2">
        <v>3</v>
      </c>
      <c r="D211" s="2" t="str">
        <f t="shared" si="9"/>
        <v>SIM</v>
      </c>
      <c r="E211" s="2" t="str">
        <f t="shared" si="10"/>
        <v>SIM</v>
      </c>
      <c r="F211" s="2" t="str">
        <f>IF(COUNTIFS($A$2:A211,A211,$B$2:B211,B211)&lt;=2,"SIM","NÃO")</f>
        <v>NÃO</v>
      </c>
      <c r="G211" s="2" t="str">
        <f t="shared" si="11"/>
        <v>NÃO</v>
      </c>
    </row>
    <row r="212" spans="1:7" x14ac:dyDescent="0.3">
      <c r="A212" s="2">
        <v>20</v>
      </c>
      <c r="B212" s="2" t="s">
        <v>5</v>
      </c>
      <c r="C212" s="2">
        <v>3</v>
      </c>
      <c r="D212" s="2" t="str">
        <f t="shared" si="9"/>
        <v>SIM</v>
      </c>
      <c r="E212" s="2" t="str">
        <f t="shared" si="10"/>
        <v>SIM</v>
      </c>
      <c r="F212" s="2" t="str">
        <f>IF(COUNTIFS($A$2:A212,A212,$B$2:B212,B212)&lt;=2,"SIM","NÃO")</f>
        <v>NÃO</v>
      </c>
      <c r="G212" s="2" t="str">
        <f t="shared" si="11"/>
        <v>NÃO</v>
      </c>
    </row>
    <row r="213" spans="1:7" x14ac:dyDescent="0.3">
      <c r="A213" s="2">
        <v>21</v>
      </c>
      <c r="B213" s="2" t="s">
        <v>5</v>
      </c>
      <c r="C213" s="2">
        <v>4</v>
      </c>
      <c r="D213" s="2" t="str">
        <f t="shared" si="9"/>
        <v>SIM</v>
      </c>
      <c r="E213" s="2" t="str">
        <f t="shared" si="10"/>
        <v>SIM</v>
      </c>
      <c r="F213" s="2" t="str">
        <f>IF(COUNTIFS($A$2:A213,A213,$B$2:B213,B213)&lt;=2,"SIM","NÃO")</f>
        <v>NÃO</v>
      </c>
      <c r="G213" s="2" t="str">
        <f t="shared" si="11"/>
        <v>NÃO</v>
      </c>
    </row>
    <row r="214" spans="1:7" x14ac:dyDescent="0.3">
      <c r="A214" s="2">
        <v>22</v>
      </c>
      <c r="B214" s="2" t="s">
        <v>5</v>
      </c>
      <c r="C214" s="2">
        <v>3</v>
      </c>
      <c r="D214" s="2" t="str">
        <f t="shared" si="9"/>
        <v>SIM</v>
      </c>
      <c r="E214" s="2" t="str">
        <f t="shared" si="10"/>
        <v>SIM</v>
      </c>
      <c r="F214" s="2" t="str">
        <f>IF(COUNTIFS($A$2:A214,A214,$B$2:B214,B214)&lt;=2,"SIM","NÃO")</f>
        <v>NÃO</v>
      </c>
      <c r="G214" s="2" t="str">
        <f t="shared" si="11"/>
        <v>NÃO</v>
      </c>
    </row>
    <row r="215" spans="1:7" x14ac:dyDescent="0.3">
      <c r="A215" s="2">
        <v>23</v>
      </c>
      <c r="B215" s="2" t="s">
        <v>3</v>
      </c>
      <c r="C215" s="2">
        <v>1</v>
      </c>
      <c r="D215" s="2" t="str">
        <f t="shared" si="9"/>
        <v>SIM</v>
      </c>
      <c r="E215" s="2" t="str">
        <f t="shared" si="10"/>
        <v>SIM</v>
      </c>
      <c r="F215" s="2" t="str">
        <f>IF(COUNTIFS($A$2:A215,A215,$B$2:B215,B215)&lt;=2,"SIM","NÃO")</f>
        <v>NÃO</v>
      </c>
      <c r="G215" s="2" t="str">
        <f t="shared" si="11"/>
        <v>NÃO</v>
      </c>
    </row>
    <row r="216" spans="1:7" x14ac:dyDescent="0.3">
      <c r="A216" s="2">
        <v>33</v>
      </c>
      <c r="B216" s="2" t="s">
        <v>5</v>
      </c>
      <c r="C216" s="2">
        <v>4</v>
      </c>
      <c r="D216" s="2" t="str">
        <f t="shared" si="9"/>
        <v>SIM</v>
      </c>
      <c r="E216" s="2" t="str">
        <f t="shared" si="10"/>
        <v>SIM</v>
      </c>
      <c r="F216" s="2" t="str">
        <f>IF(COUNTIFS($A$2:A216,A216,$B$2:B216,B216)&lt;=2,"SIM","NÃO")</f>
        <v>NÃO</v>
      </c>
      <c r="G216" s="2" t="str">
        <f t="shared" si="11"/>
        <v>NÃO</v>
      </c>
    </row>
    <row r="217" spans="1:7" x14ac:dyDescent="0.3">
      <c r="A217" s="2">
        <v>34</v>
      </c>
      <c r="B217" s="2" t="s">
        <v>5</v>
      </c>
      <c r="C217" s="2">
        <v>5</v>
      </c>
      <c r="D217" s="2" t="str">
        <f t="shared" si="9"/>
        <v>SIM</v>
      </c>
      <c r="E217" s="2" t="str">
        <f t="shared" si="10"/>
        <v>SIM</v>
      </c>
      <c r="F217" s="2" t="str">
        <f>IF(COUNTIFS($A$2:A217,A217,$B$2:B217,B217)&lt;=2,"SIM","NÃO")</f>
        <v>NÃO</v>
      </c>
      <c r="G217" s="2" t="str">
        <f t="shared" si="11"/>
        <v>NÃO</v>
      </c>
    </row>
    <row r="218" spans="1:7" x14ac:dyDescent="0.3">
      <c r="A218" s="2">
        <v>35</v>
      </c>
      <c r="B218" s="2" t="s">
        <v>5</v>
      </c>
      <c r="C218" s="2">
        <v>5</v>
      </c>
      <c r="D218" s="2" t="str">
        <f t="shared" si="9"/>
        <v>SIM</v>
      </c>
      <c r="E218" s="2" t="str">
        <f t="shared" si="10"/>
        <v>SIM</v>
      </c>
      <c r="F218" s="2" t="str">
        <f>IF(COUNTIFS($A$2:A218,A218,$B$2:B218,B218)&lt;=2,"SIM","NÃO")</f>
        <v>NÃO</v>
      </c>
      <c r="G218" s="2" t="str">
        <f t="shared" si="11"/>
        <v>NÃO</v>
      </c>
    </row>
    <row r="219" spans="1:7" x14ac:dyDescent="0.3">
      <c r="A219" s="2">
        <v>36</v>
      </c>
      <c r="B219" s="2" t="s">
        <v>5</v>
      </c>
      <c r="C219" s="2">
        <v>2</v>
      </c>
      <c r="D219" s="2" t="str">
        <f t="shared" si="9"/>
        <v>SIM</v>
      </c>
      <c r="E219" s="2" t="str">
        <f t="shared" si="10"/>
        <v>SIM</v>
      </c>
      <c r="F219" s="2" t="str">
        <f>IF(COUNTIFS($A$2:A219,A219,$B$2:B219,B219)&lt;=2,"SIM","NÃO")</f>
        <v>NÃO</v>
      </c>
      <c r="G219" s="2" t="str">
        <f t="shared" si="11"/>
        <v>NÃO</v>
      </c>
    </row>
    <row r="220" spans="1:7" x14ac:dyDescent="0.3">
      <c r="A220" s="2">
        <v>37</v>
      </c>
      <c r="B220" s="2" t="s">
        <v>5</v>
      </c>
      <c r="C220" s="2">
        <v>1</v>
      </c>
      <c r="D220" s="2" t="str">
        <f t="shared" si="9"/>
        <v>SIM</v>
      </c>
      <c r="E220" s="2" t="str">
        <f t="shared" si="10"/>
        <v>SIM</v>
      </c>
      <c r="F220" s="2" t="str">
        <f>IF(COUNTIFS($A$2:A220,A220,$B$2:B220,B220)&lt;=2,"SIM","NÃO")</f>
        <v>NÃO</v>
      </c>
      <c r="G220" s="2" t="str">
        <f t="shared" si="11"/>
        <v>NÃO</v>
      </c>
    </row>
    <row r="221" spans="1:7" x14ac:dyDescent="0.3">
      <c r="A221" s="2">
        <v>38</v>
      </c>
      <c r="B221" s="2" t="s">
        <v>5</v>
      </c>
      <c r="C221" s="2">
        <v>6</v>
      </c>
      <c r="D221" s="2" t="str">
        <f t="shared" si="9"/>
        <v>NÃO</v>
      </c>
      <c r="E221" s="2" t="str">
        <f t="shared" si="10"/>
        <v>SIM</v>
      </c>
      <c r="F221" s="2" t="str">
        <f>IF(COUNTIFS($A$2:A221,A221,$B$2:B221,B221)&lt;=2,"SIM","NÃO")</f>
        <v>NÃO</v>
      </c>
      <c r="G221" s="2" t="str">
        <f t="shared" si="11"/>
        <v>NÃO</v>
      </c>
    </row>
    <row r="222" spans="1:7" x14ac:dyDescent="0.3">
      <c r="A222" s="2">
        <v>39</v>
      </c>
      <c r="B222" s="2" t="s">
        <v>5</v>
      </c>
      <c r="C222" s="2">
        <v>4</v>
      </c>
      <c r="D222" s="2" t="str">
        <f t="shared" si="9"/>
        <v>SIM</v>
      </c>
      <c r="E222" s="2" t="str">
        <f t="shared" si="10"/>
        <v>SIM</v>
      </c>
      <c r="F222" s="2" t="str">
        <f>IF(COUNTIFS($A$2:A222,A222,$B$2:B222,B222)&lt;=2,"SIM","NÃO")</f>
        <v>NÃO</v>
      </c>
      <c r="G222" s="2" t="str">
        <f t="shared" si="11"/>
        <v>NÃO</v>
      </c>
    </row>
    <row r="223" spans="1:7" x14ac:dyDescent="0.3">
      <c r="A223" s="2">
        <v>40</v>
      </c>
      <c r="B223" s="2" t="s">
        <v>5</v>
      </c>
      <c r="C223" s="2">
        <v>1</v>
      </c>
      <c r="D223" s="2" t="str">
        <f t="shared" si="9"/>
        <v>SIM</v>
      </c>
      <c r="E223" s="2" t="str">
        <f t="shared" si="10"/>
        <v>SIM</v>
      </c>
      <c r="F223" s="2" t="str">
        <f>IF(COUNTIFS($A$2:A223,A223,$B$2:B223,B223)&lt;=2,"SIM","NÃO")</f>
        <v>NÃO</v>
      </c>
      <c r="G223" s="2" t="str">
        <f t="shared" si="11"/>
        <v>NÃO</v>
      </c>
    </row>
    <row r="224" spans="1:7" x14ac:dyDescent="0.3">
      <c r="A224" s="2">
        <v>41</v>
      </c>
      <c r="B224" s="2" t="s">
        <v>5</v>
      </c>
      <c r="C224" s="2">
        <v>3</v>
      </c>
      <c r="D224" s="2" t="str">
        <f t="shared" si="9"/>
        <v>SIM</v>
      </c>
      <c r="E224" s="2" t="str">
        <f t="shared" si="10"/>
        <v>SIM</v>
      </c>
      <c r="F224" s="2" t="str">
        <f>IF(COUNTIFS($A$2:A224,A224,$B$2:B224,B224)&lt;=2,"SIM","NÃO")</f>
        <v>NÃO</v>
      </c>
      <c r="G224" s="2" t="str">
        <f t="shared" si="11"/>
        <v>NÃO</v>
      </c>
    </row>
    <row r="225" spans="1:7" x14ac:dyDescent="0.3">
      <c r="A225" s="2">
        <v>42</v>
      </c>
      <c r="B225" s="2" t="s">
        <v>3</v>
      </c>
      <c r="C225" s="2">
        <v>1</v>
      </c>
      <c r="D225" s="2" t="str">
        <f t="shared" si="9"/>
        <v>SIM</v>
      </c>
      <c r="E225" s="2" t="str">
        <f t="shared" si="10"/>
        <v>SIM</v>
      </c>
      <c r="F225" s="2" t="str">
        <f>IF(COUNTIFS($A$2:A225,A225,$B$2:B225,B225)&lt;=2,"SIM","NÃO")</f>
        <v>NÃO</v>
      </c>
      <c r="G225" s="2" t="str">
        <f t="shared" si="11"/>
        <v>NÃO</v>
      </c>
    </row>
    <row r="226" spans="1:7" x14ac:dyDescent="0.3">
      <c r="A226" s="2">
        <v>43</v>
      </c>
      <c r="B226" s="2" t="s">
        <v>3</v>
      </c>
      <c r="C226" s="2">
        <v>1</v>
      </c>
      <c r="D226" s="2" t="str">
        <f t="shared" si="9"/>
        <v>SIM</v>
      </c>
      <c r="E226" s="2" t="str">
        <f t="shared" si="10"/>
        <v>SIM</v>
      </c>
      <c r="F226" s="2" t="str">
        <f>IF(COUNTIFS($A$2:A226,A226,$B$2:B226,B226)&lt;=2,"SIM","NÃO")</f>
        <v>NÃO</v>
      </c>
      <c r="G226" s="2" t="str">
        <f t="shared" si="11"/>
        <v>NÃO</v>
      </c>
    </row>
    <row r="227" spans="1:7" x14ac:dyDescent="0.3">
      <c r="A227" s="2">
        <v>44</v>
      </c>
      <c r="B227" s="2" t="s">
        <v>3</v>
      </c>
      <c r="C227" s="2">
        <v>3</v>
      </c>
      <c r="D227" s="2" t="str">
        <f t="shared" si="9"/>
        <v>SIM</v>
      </c>
      <c r="E227" s="2" t="str">
        <f t="shared" si="10"/>
        <v>SIM</v>
      </c>
      <c r="F227" s="2" t="str">
        <f>IF(COUNTIFS($A$2:A227,A227,$B$2:B227,B227)&lt;=2,"SIM","NÃO")</f>
        <v>NÃO</v>
      </c>
      <c r="G227" s="2" t="str">
        <f t="shared" si="11"/>
        <v>NÃO</v>
      </c>
    </row>
    <row r="228" spans="1:7" x14ac:dyDescent="0.3">
      <c r="A228" s="2">
        <v>17</v>
      </c>
      <c r="B228" s="2" t="s">
        <v>5</v>
      </c>
      <c r="C228" s="2">
        <v>3</v>
      </c>
      <c r="D228" s="2" t="str">
        <f t="shared" si="9"/>
        <v>SIM</v>
      </c>
      <c r="E228" s="2" t="str">
        <f t="shared" si="10"/>
        <v>SIM</v>
      </c>
      <c r="F228" s="2" t="str">
        <f>IF(COUNTIFS($A$2:A228,A228,$B$2:B228,B228)&lt;=2,"SIM","NÃO")</f>
        <v>NÃO</v>
      </c>
      <c r="G228" s="2" t="str">
        <f t="shared" si="11"/>
        <v>NÃO</v>
      </c>
    </row>
    <row r="229" spans="1:7" x14ac:dyDescent="0.3">
      <c r="A229" s="2">
        <v>18</v>
      </c>
      <c r="B229" s="2" t="s">
        <v>5</v>
      </c>
      <c r="C229" s="2">
        <v>1</v>
      </c>
      <c r="D229" s="2" t="str">
        <f t="shared" si="9"/>
        <v>SIM</v>
      </c>
      <c r="E229" s="2" t="str">
        <f t="shared" si="10"/>
        <v>SIM</v>
      </c>
      <c r="F229" s="2" t="str">
        <f>IF(COUNTIFS($A$2:A229,A229,$B$2:B229,B229)&lt;=2,"SIM","NÃO")</f>
        <v>NÃO</v>
      </c>
      <c r="G229" s="2" t="str">
        <f t="shared" si="11"/>
        <v>NÃO</v>
      </c>
    </row>
    <row r="230" spans="1:7" x14ac:dyDescent="0.3">
      <c r="A230" s="2">
        <v>19</v>
      </c>
      <c r="B230" s="2" t="s">
        <v>5</v>
      </c>
      <c r="C230" s="2">
        <v>3</v>
      </c>
      <c r="D230" s="2" t="str">
        <f t="shared" si="9"/>
        <v>SIM</v>
      </c>
      <c r="E230" s="2" t="str">
        <f t="shared" si="10"/>
        <v>SIM</v>
      </c>
      <c r="F230" s="2" t="str">
        <f>IF(COUNTIFS($A$2:A230,A230,$B$2:B230,B230)&lt;=2,"SIM","NÃO")</f>
        <v>NÃO</v>
      </c>
      <c r="G230" s="2" t="str">
        <f t="shared" si="11"/>
        <v>NÃO</v>
      </c>
    </row>
    <row r="231" spans="1:7" x14ac:dyDescent="0.3">
      <c r="A231" s="2">
        <v>20</v>
      </c>
      <c r="B231" s="2" t="s">
        <v>5</v>
      </c>
      <c r="C231" s="2">
        <v>3</v>
      </c>
      <c r="D231" s="2" t="str">
        <f t="shared" si="9"/>
        <v>SIM</v>
      </c>
      <c r="E231" s="2" t="str">
        <f t="shared" si="10"/>
        <v>SIM</v>
      </c>
      <c r="F231" s="2" t="str">
        <f>IF(COUNTIFS($A$2:A231,A231,$B$2:B231,B231)&lt;=2,"SIM","NÃO")</f>
        <v>NÃO</v>
      </c>
      <c r="G231" s="2" t="str">
        <f t="shared" si="11"/>
        <v>NÃO</v>
      </c>
    </row>
    <row r="232" spans="1:7" x14ac:dyDescent="0.3">
      <c r="A232" s="2">
        <v>21</v>
      </c>
      <c r="B232" s="2" t="s">
        <v>5</v>
      </c>
      <c r="C232" s="2">
        <v>4</v>
      </c>
      <c r="D232" s="2" t="str">
        <f t="shared" si="9"/>
        <v>SIM</v>
      </c>
      <c r="E232" s="2" t="str">
        <f t="shared" si="10"/>
        <v>SIM</v>
      </c>
      <c r="F232" s="2" t="str">
        <f>IF(COUNTIFS($A$2:A232,A232,$B$2:B232,B232)&lt;=2,"SIM","NÃO")</f>
        <v>NÃO</v>
      </c>
      <c r="G232" s="2" t="str">
        <f t="shared" si="11"/>
        <v>NÃO</v>
      </c>
    </row>
    <row r="233" spans="1:7" x14ac:dyDescent="0.3">
      <c r="A233" s="2">
        <v>1</v>
      </c>
      <c r="B233" s="2" t="s">
        <v>3</v>
      </c>
      <c r="C233" s="2">
        <v>5</v>
      </c>
      <c r="D233" s="2" t="str">
        <f t="shared" si="9"/>
        <v>SIM</v>
      </c>
      <c r="E233" s="2" t="str">
        <f t="shared" si="10"/>
        <v>SIM</v>
      </c>
      <c r="F233" s="2" t="str">
        <f>IF(COUNTIFS($A$2:A233,A233,$B$2:B233,B233)&lt;=2,"SIM","NÃO")</f>
        <v>NÃO</v>
      </c>
      <c r="G233" s="2" t="str">
        <f t="shared" si="11"/>
        <v>NÃO</v>
      </c>
    </row>
    <row r="234" spans="1:7" x14ac:dyDescent="0.3">
      <c r="A234" s="2">
        <v>1</v>
      </c>
      <c r="B234" s="2" t="s">
        <v>3</v>
      </c>
      <c r="C234" s="2">
        <v>4</v>
      </c>
      <c r="D234" s="2" t="str">
        <f t="shared" si="9"/>
        <v>SIM</v>
      </c>
      <c r="E234" s="2" t="str">
        <f t="shared" si="10"/>
        <v>SIM</v>
      </c>
      <c r="F234" s="2" t="str">
        <f>IF(COUNTIFS($A$2:A234,A234,$B$2:B234,B234)&lt;=2,"SIM","NÃO")</f>
        <v>NÃO</v>
      </c>
      <c r="G234" s="2" t="str">
        <f t="shared" si="11"/>
        <v>NÃO</v>
      </c>
    </row>
    <row r="235" spans="1:7" x14ac:dyDescent="0.3">
      <c r="A235" s="2"/>
      <c r="B235" s="2"/>
      <c r="C235" s="2"/>
      <c r="D235" s="2"/>
      <c r="E235" s="2"/>
    </row>
  </sheetData>
  <autoFilter ref="A1:C234" xr:uid="{9C0DCFF7-5745-42DF-B0BC-B911AE27985F}"/>
  <conditionalFormatting sqref="G2:G234">
    <cfRule type="containsText" dxfId="2" priority="2" operator="containsText" text="SIM">
      <formula>NOT(ISERROR(SEARCH("SIM",G2)))</formula>
    </cfRule>
  </conditionalFormatting>
  <conditionalFormatting sqref="G2:G234">
    <cfRule type="containsText" dxfId="0" priority="1" operator="containsText" text="NÃO">
      <formula>NOT(ISERROR(SEARCH("NÃO",G2)))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&amp;R&amp;"Aptos"&amp;10&amp;K000000 #interna&amp;1#_x000D_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73CE-A023-4DDE-9C90-49F482149B9B}">
  <dimension ref="A1:G7"/>
  <sheetViews>
    <sheetView workbookViewId="0">
      <selection activeCell="D10" sqref="D10"/>
    </sheetView>
  </sheetViews>
  <sheetFormatPr defaultRowHeight="14.4" x14ac:dyDescent="0.3"/>
  <cols>
    <col min="3" max="3" width="18.33203125" customWidth="1"/>
    <col min="4" max="4" width="19.77734375" customWidth="1"/>
    <col min="5" max="5" width="22.77734375" customWidth="1"/>
    <col min="6" max="6" width="24.21875" customWidth="1"/>
    <col min="7" max="7" width="20.5546875" customWidth="1"/>
  </cols>
  <sheetData>
    <row r="1" spans="1:7" x14ac:dyDescent="0.3">
      <c r="A1" s="5" t="s">
        <v>9</v>
      </c>
      <c r="B1" s="5" t="s">
        <v>1</v>
      </c>
      <c r="C1" s="5" t="s">
        <v>14</v>
      </c>
      <c r="D1" s="5" t="s">
        <v>16</v>
      </c>
      <c r="E1" s="5" t="s">
        <v>17</v>
      </c>
      <c r="F1" s="5" t="s">
        <v>19</v>
      </c>
      <c r="G1" s="5" t="s">
        <v>20</v>
      </c>
    </row>
    <row r="2" spans="1:7" x14ac:dyDescent="0.3">
      <c r="A2" s="7">
        <v>1</v>
      </c>
      <c r="B2" s="2" t="s">
        <v>3</v>
      </c>
      <c r="C2" s="2">
        <f>AVERAGEIFS('Base de dados'!C:C,'Base de dados'!B:B,B2,'Base de dados'!G:G,"SIM")</f>
        <v>1.5121951219512195</v>
      </c>
      <c r="D2" s="2">
        <f>IF(C2&lt;=1,150,IF(C2&lt;=2,300,IF(C2&lt;=3,450,IF(C2&lt;=4,600,750))))</f>
        <v>300</v>
      </c>
      <c r="E2" s="2">
        <f>COUNTIFS('Base de dados'!B:B,B2,'Base de dados'!G:G,"SIM")</f>
        <v>41</v>
      </c>
      <c r="F2" s="2">
        <f>IF(E2&lt;=5,150,IF(E2&lt;=10,300,IF(E2&lt;=11,450,IF(E2&lt;=13,600,750))))</f>
        <v>750</v>
      </c>
      <c r="G2" s="2">
        <f>SUM(D2,F2)</f>
        <v>1050</v>
      </c>
    </row>
    <row r="3" spans="1:7" x14ac:dyDescent="0.3">
      <c r="A3" s="7">
        <v>2</v>
      </c>
      <c r="B3" s="2" t="s">
        <v>8</v>
      </c>
      <c r="C3" s="2">
        <f>AVERAGEIFS('Base de dados'!C:C,'Base de dados'!B:B,B3,'Base de dados'!G:G,"SIM")</f>
        <v>3.2</v>
      </c>
      <c r="D3" s="2">
        <f t="shared" ref="D3:D5" si="0">IF(C3&lt;=1,150,IF(C3&lt;=2,300,IF(C3&lt;=3,450,IF(C3&lt;=4,600,750))))</f>
        <v>600</v>
      </c>
      <c r="E3" s="2">
        <f>COUNTIFS('Base de dados'!B:B,B3,'Base de dados'!G:G,"SIM")</f>
        <v>30</v>
      </c>
      <c r="F3" s="2">
        <f t="shared" ref="F3:F5" si="1">IF(E3&lt;=5,150,IF(E3&lt;=10,300,IF(E3&lt;=11,450,IF(E3&lt;=13,600,750))))</f>
        <v>750</v>
      </c>
      <c r="G3" s="2">
        <f t="shared" ref="G3:G5" si="2">SUM(D3,F3)</f>
        <v>1350</v>
      </c>
    </row>
    <row r="4" spans="1:7" x14ac:dyDescent="0.3">
      <c r="A4" s="7">
        <v>3</v>
      </c>
      <c r="B4" s="2" t="s">
        <v>4</v>
      </c>
      <c r="C4" s="2">
        <f>AVERAGEIFS('Base de dados'!C:C,'Base de dados'!B:B,B4,'Base de dados'!G:G,"SIM")</f>
        <v>4.7241379310344831</v>
      </c>
      <c r="D4" s="2">
        <f t="shared" si="0"/>
        <v>750</v>
      </c>
      <c r="E4" s="2">
        <f>COUNTIFS('Base de dados'!B:B,B4,'Base de dados'!G:G,"SIM")</f>
        <v>29</v>
      </c>
      <c r="F4" s="2">
        <f t="shared" si="1"/>
        <v>750</v>
      </c>
      <c r="G4" s="2">
        <f t="shared" si="2"/>
        <v>1500</v>
      </c>
    </row>
    <row r="5" spans="1:7" x14ac:dyDescent="0.3">
      <c r="A5" s="7">
        <v>4</v>
      </c>
      <c r="B5" s="2" t="s">
        <v>5</v>
      </c>
      <c r="C5" s="2">
        <f>AVERAGEIFS('Base de dados'!C:C,'Base de dados'!B:B,B5,'Base de dados'!G:G,"SIM")</f>
        <v>2.9285714285714284</v>
      </c>
      <c r="D5" s="2">
        <f t="shared" si="0"/>
        <v>450</v>
      </c>
      <c r="E5" s="2">
        <f>COUNTIFS('Base de dados'!B:B,B5,'Base de dados'!G:G,"SIM")</f>
        <v>42</v>
      </c>
      <c r="F5" s="2">
        <f t="shared" si="1"/>
        <v>750</v>
      </c>
      <c r="G5" s="2">
        <f t="shared" si="2"/>
        <v>1200</v>
      </c>
    </row>
    <row r="6" spans="1:7" x14ac:dyDescent="0.3">
      <c r="A6" s="7">
        <v>5</v>
      </c>
      <c r="B6" s="2" t="s">
        <v>7</v>
      </c>
      <c r="C6" s="2" t="s">
        <v>15</v>
      </c>
      <c r="D6" s="2" t="s">
        <v>18</v>
      </c>
      <c r="E6" s="2" t="s">
        <v>18</v>
      </c>
      <c r="F6" s="2" t="s">
        <v>18</v>
      </c>
      <c r="G6" s="2" t="s">
        <v>18</v>
      </c>
    </row>
    <row r="7" spans="1:7" x14ac:dyDescent="0.3">
      <c r="D7" s="2"/>
      <c r="E7" s="2"/>
      <c r="F7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BB81-FB02-4FC3-8EA4-D8376795D0C3}">
  <dimension ref="A1:B2"/>
  <sheetViews>
    <sheetView workbookViewId="0">
      <selection activeCell="B2" sqref="B2"/>
    </sheetView>
  </sheetViews>
  <sheetFormatPr defaultRowHeight="14.4" x14ac:dyDescent="0.3"/>
  <cols>
    <col min="1" max="1" width="26.33203125" customWidth="1"/>
    <col min="2" max="2" width="22" customWidth="1"/>
  </cols>
  <sheetData>
    <row r="1" spans="1:2" x14ac:dyDescent="0.3">
      <c r="A1" s="6" t="s">
        <v>21</v>
      </c>
      <c r="B1" s="5" t="s">
        <v>22</v>
      </c>
    </row>
    <row r="2" spans="1:2" x14ac:dyDescent="0.3">
      <c r="A2" s="2">
        <v>4</v>
      </c>
      <c r="B2" s="2">
        <f>AVERAGE('Resultados por carteira'!G2:G5)</f>
        <v>1275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de dados</vt:lpstr>
      <vt:lpstr>Resultados por carteira</vt:lpstr>
      <vt:lpstr>Resultado da agência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Eduardo de Meo</dc:creator>
  <cp:keywords/>
  <dc:description/>
  <cp:lastModifiedBy>Luana Fernandes B</cp:lastModifiedBy>
  <cp:revision/>
  <dcterms:created xsi:type="dcterms:W3CDTF">2026-06-11T16:23:28Z</dcterms:created>
  <dcterms:modified xsi:type="dcterms:W3CDTF">2026-06-15T03:38:10Z</dcterms:modified>
  <cp:category/>
  <cp:contentStatus/>
</cp:coreProperties>
</file>